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jab\Desktop\QFD_양식\"/>
    </mc:Choice>
  </mc:AlternateContent>
  <xr:revisionPtr revIDLastSave="0" documentId="13_ncr:1_{32237BAD-75C6-44DF-ABEE-DEEC7E3D4822}" xr6:coauthVersionLast="47" xr6:coauthVersionMax="47" xr10:uidLastSave="{00000000-0000-0000-0000-000000000000}"/>
  <bookViews>
    <workbookView xWindow="-108" yWindow="-108" windowWidth="23256" windowHeight="12456" tabRatio="839" xr2:uid="{00000000-000D-0000-FFFF-FFFF00000000}"/>
  </bookViews>
  <sheets>
    <sheet name="자사매출추정표" sheetId="5" r:id="rId1"/>
    <sheet name="AS-IS스펙표" sheetId="31" r:id="rId2"/>
    <sheet name="제품속성표" sheetId="6" r:id="rId3"/>
    <sheet name="제품속성적합도" sheetId="7" r:id="rId4"/>
    <sheet name="고객요구사항도출표" sheetId="10" r:id="rId5"/>
    <sheet name="KANO질문지" sheetId="11" r:id="rId6"/>
    <sheet name="kano분석 집계표" sheetId="12" r:id="rId7"/>
    <sheet name="만족계수 그래프" sheetId="13" r:id="rId8"/>
    <sheet name="TIMKO" sheetId="30" r:id="rId9"/>
    <sheet name="기능기술체계도" sheetId="28" r:id="rId10"/>
    <sheet name="QFD" sheetId="15" r:id="rId11"/>
    <sheet name="개선포인트도출" sheetId="32" r:id="rId12"/>
    <sheet name="최종목표스펙도출" sheetId="25" r:id="rId13"/>
    <sheet name="향후목표고객LIST" sheetId="33" r:id="rId14"/>
    <sheet name="핵심자산과 보완자산표" sheetId="19" r:id="rId15"/>
    <sheet name="자금소요계획표" sheetId="24" r:id="rId16"/>
    <sheet name="자금조달계획표" sheetId="26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32" l="1"/>
  <c r="C17" i="32"/>
  <c r="C16" i="32"/>
  <c r="C15" i="32"/>
  <c r="C14" i="32"/>
  <c r="O3" i="30" l="1"/>
  <c r="G7" i="13" l="1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6" i="13"/>
  <c r="G5" i="13"/>
  <c r="R4" i="30" l="1"/>
  <c r="R5" i="30"/>
  <c r="R6" i="30"/>
  <c r="R7" i="30"/>
  <c r="R8" i="30"/>
  <c r="R9" i="30"/>
  <c r="R10" i="30"/>
  <c r="R11" i="30"/>
  <c r="R12" i="30"/>
  <c r="R13" i="30"/>
  <c r="R14" i="30"/>
  <c r="R15" i="30"/>
  <c r="R16" i="30"/>
  <c r="R17" i="30"/>
  <c r="R18" i="30"/>
  <c r="R19" i="30"/>
  <c r="R20" i="30"/>
  <c r="R21" i="30"/>
  <c r="R22" i="30"/>
  <c r="R3" i="30"/>
  <c r="O4" i="30" l="1"/>
  <c r="O5" i="30"/>
  <c r="O6" i="30"/>
  <c r="O7" i="30"/>
  <c r="O8" i="30"/>
  <c r="O9" i="30"/>
  <c r="O10" i="30"/>
  <c r="O11" i="30"/>
  <c r="O12" i="30"/>
  <c r="O13" i="30"/>
  <c r="O14" i="30"/>
  <c r="O15" i="30"/>
  <c r="O16" i="30"/>
  <c r="O17" i="30"/>
  <c r="O18" i="30"/>
  <c r="O19" i="30"/>
  <c r="O20" i="30"/>
  <c r="O21" i="30"/>
  <c r="O22" i="30"/>
  <c r="EB13" i="11" l="1"/>
  <c r="H11" i="26" l="1"/>
  <c r="F11" i="26"/>
  <c r="D11" i="26"/>
  <c r="F4" i="24"/>
  <c r="E4" i="24"/>
  <c r="X31" i="15" l="1"/>
  <c r="Y31" i="15" s="1"/>
  <c r="T31" i="15"/>
  <c r="D31" i="15"/>
  <c r="C31" i="15"/>
  <c r="B31" i="15"/>
  <c r="X30" i="15"/>
  <c r="Y30" i="15" s="1"/>
  <c r="T30" i="15"/>
  <c r="D30" i="15"/>
  <c r="C30" i="15"/>
  <c r="B30" i="15"/>
  <c r="X29" i="15"/>
  <c r="Y29" i="15" s="1"/>
  <c r="T29" i="15"/>
  <c r="D29" i="15"/>
  <c r="C29" i="15"/>
  <c r="B29" i="15"/>
  <c r="X28" i="15"/>
  <c r="Y28" i="15" s="1"/>
  <c r="T28" i="15"/>
  <c r="D28" i="15"/>
  <c r="C28" i="15"/>
  <c r="B28" i="15"/>
  <c r="X27" i="15"/>
  <c r="Y27" i="15" s="1"/>
  <c r="T27" i="15"/>
  <c r="D27" i="15"/>
  <c r="C27" i="15"/>
  <c r="B27" i="15"/>
  <c r="X26" i="15"/>
  <c r="Y26" i="15" s="1"/>
  <c r="T26" i="15"/>
  <c r="D26" i="15"/>
  <c r="C26" i="15"/>
  <c r="B26" i="15"/>
  <c r="X25" i="15"/>
  <c r="Y25" i="15" s="1"/>
  <c r="T25" i="15"/>
  <c r="D25" i="15"/>
  <c r="C25" i="15"/>
  <c r="B25" i="15"/>
  <c r="X24" i="15"/>
  <c r="Y24" i="15" s="1"/>
  <c r="T24" i="15"/>
  <c r="D24" i="15"/>
  <c r="C24" i="15"/>
  <c r="B24" i="15"/>
  <c r="X23" i="15"/>
  <c r="Y23" i="15" s="1"/>
  <c r="T23" i="15"/>
  <c r="D23" i="15"/>
  <c r="C23" i="15"/>
  <c r="B23" i="15"/>
  <c r="X22" i="15"/>
  <c r="Y22" i="15" s="1"/>
  <c r="T22" i="15"/>
  <c r="D22" i="15"/>
  <c r="C22" i="15"/>
  <c r="B22" i="15"/>
  <c r="X21" i="15"/>
  <c r="Y21" i="15" s="1"/>
  <c r="T21" i="15"/>
  <c r="D21" i="15"/>
  <c r="C21" i="15"/>
  <c r="B21" i="15"/>
  <c r="X20" i="15"/>
  <c r="Y20" i="15" s="1"/>
  <c r="T20" i="15"/>
  <c r="D20" i="15"/>
  <c r="C20" i="15"/>
  <c r="B20" i="15"/>
  <c r="X19" i="15"/>
  <c r="Y19" i="15" s="1"/>
  <c r="T19" i="15"/>
  <c r="D19" i="15"/>
  <c r="C19" i="15"/>
  <c r="B19" i="15"/>
  <c r="X18" i="15"/>
  <c r="Y18" i="15" s="1"/>
  <c r="T18" i="15"/>
  <c r="D18" i="15"/>
  <c r="C18" i="15"/>
  <c r="B18" i="15"/>
  <c r="X17" i="15"/>
  <c r="Y17" i="15" s="1"/>
  <c r="T17" i="15"/>
  <c r="D17" i="15"/>
  <c r="C17" i="15"/>
  <c r="B17" i="15"/>
  <c r="X16" i="15"/>
  <c r="Y16" i="15" s="1"/>
  <c r="T16" i="15"/>
  <c r="D16" i="15"/>
  <c r="C16" i="15"/>
  <c r="B16" i="15"/>
  <c r="X15" i="15"/>
  <c r="Y15" i="15" s="1"/>
  <c r="T15" i="15"/>
  <c r="D15" i="15"/>
  <c r="C15" i="15"/>
  <c r="B15" i="15"/>
  <c r="X14" i="15"/>
  <c r="Y14" i="15" s="1"/>
  <c r="T14" i="15"/>
  <c r="D14" i="15"/>
  <c r="C14" i="15"/>
  <c r="B14" i="15"/>
  <c r="X13" i="15"/>
  <c r="Y13" i="15" s="1"/>
  <c r="T13" i="15"/>
  <c r="D13" i="15"/>
  <c r="C13" i="15"/>
  <c r="B13" i="15"/>
  <c r="X12" i="15"/>
  <c r="Y12" i="15" s="1"/>
  <c r="T12" i="15"/>
  <c r="D12" i="15"/>
  <c r="C12" i="15"/>
  <c r="B12" i="15"/>
  <c r="X11" i="15"/>
  <c r="Y11" i="15" s="1"/>
  <c r="T11" i="15"/>
  <c r="D11" i="15"/>
  <c r="C11" i="15"/>
  <c r="B11" i="15"/>
  <c r="X10" i="15"/>
  <c r="Y10" i="15" s="1"/>
  <c r="T10" i="15"/>
  <c r="D10" i="15"/>
  <c r="C10" i="15"/>
  <c r="B10" i="15"/>
  <c r="X9" i="15"/>
  <c r="Y9" i="15" s="1"/>
  <c r="T9" i="15"/>
  <c r="D9" i="15"/>
  <c r="C9" i="15"/>
  <c r="B9" i="15"/>
  <c r="X8" i="15"/>
  <c r="Y8" i="15" s="1"/>
  <c r="T8" i="15"/>
  <c r="D8" i="15"/>
  <c r="C8" i="15"/>
  <c r="B8" i="15"/>
  <c r="X7" i="15"/>
  <c r="Y7" i="15" s="1"/>
  <c r="T7" i="15"/>
  <c r="D7" i="15"/>
  <c r="C7" i="15"/>
  <c r="B7" i="15"/>
  <c r="X6" i="15"/>
  <c r="Y6" i="15" s="1"/>
  <c r="T6" i="15"/>
  <c r="D6" i="15"/>
  <c r="C6" i="15"/>
  <c r="B6" i="15"/>
  <c r="X5" i="15"/>
  <c r="Y5" i="15" s="1"/>
  <c r="T5" i="15"/>
  <c r="D5" i="15"/>
  <c r="C5" i="15"/>
  <c r="B5" i="15"/>
  <c r="X4" i="15"/>
  <c r="Y4" i="15" s="1"/>
  <c r="T4" i="15"/>
  <c r="D4" i="15"/>
  <c r="C4" i="15"/>
  <c r="B4" i="15"/>
  <c r="C39" i="13"/>
  <c r="B39" i="13"/>
  <c r="C38" i="13"/>
  <c r="B38" i="13"/>
  <c r="C37" i="13"/>
  <c r="B37" i="13"/>
  <c r="C36" i="13"/>
  <c r="B36" i="13"/>
  <c r="C35" i="13"/>
  <c r="B35" i="13"/>
  <c r="C34" i="13"/>
  <c r="B34" i="13"/>
  <c r="C33" i="13"/>
  <c r="B33" i="13"/>
  <c r="C32" i="13"/>
  <c r="B32" i="13"/>
  <c r="C31" i="13"/>
  <c r="B31" i="13"/>
  <c r="C30" i="13"/>
  <c r="B30" i="13"/>
  <c r="C29" i="13"/>
  <c r="B29" i="13"/>
  <c r="C28" i="13"/>
  <c r="B28" i="13"/>
  <c r="C27" i="13"/>
  <c r="B27" i="13"/>
  <c r="C26" i="13"/>
  <c r="B26" i="13"/>
  <c r="C25" i="13"/>
  <c r="B25" i="13"/>
  <c r="C24" i="13"/>
  <c r="B24" i="13"/>
  <c r="C23" i="13"/>
  <c r="B23" i="13"/>
  <c r="C22" i="13"/>
  <c r="B22" i="13"/>
  <c r="C21" i="13"/>
  <c r="B21" i="13"/>
  <c r="C20" i="13"/>
  <c r="B20" i="13"/>
  <c r="C19" i="13"/>
  <c r="B19" i="13"/>
  <c r="C18" i="13"/>
  <c r="B18" i="13"/>
  <c r="C17" i="13"/>
  <c r="B17" i="13"/>
  <c r="C16" i="13"/>
  <c r="B16" i="13"/>
  <c r="C15" i="13"/>
  <c r="B15" i="13"/>
  <c r="C14" i="13"/>
  <c r="B14" i="13"/>
  <c r="C13" i="13"/>
  <c r="B13" i="13"/>
  <c r="C12" i="13"/>
  <c r="B12" i="13"/>
  <c r="C11" i="13"/>
  <c r="B11" i="13"/>
  <c r="C10" i="13"/>
  <c r="B10" i="13"/>
  <c r="C9" i="13"/>
  <c r="B9" i="13"/>
  <c r="C8" i="13"/>
  <c r="B8" i="13"/>
  <c r="C7" i="13"/>
  <c r="B7" i="13"/>
  <c r="C6" i="13"/>
  <c r="B6" i="13"/>
  <c r="C5" i="13"/>
  <c r="B5" i="13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L73" i="11"/>
  <c r="IK71" i="11"/>
  <c r="IJ71" i="11"/>
  <c r="II71" i="11"/>
  <c r="IH71" i="11"/>
  <c r="IG71" i="11"/>
  <c r="IF71" i="11"/>
  <c r="HY71" i="11"/>
  <c r="HX71" i="11"/>
  <c r="HW71" i="11"/>
  <c r="HV71" i="11"/>
  <c r="HU71" i="11"/>
  <c r="HT71" i="11"/>
  <c r="HM71" i="11"/>
  <c r="HL71" i="11"/>
  <c r="HK71" i="11"/>
  <c r="HJ71" i="11"/>
  <c r="HI71" i="11"/>
  <c r="HH71" i="11"/>
  <c r="HA71" i="11"/>
  <c r="GZ71" i="11"/>
  <c r="GY71" i="11"/>
  <c r="GX71" i="11"/>
  <c r="GW71" i="11"/>
  <c r="GV71" i="11"/>
  <c r="GO71" i="11"/>
  <c r="GN71" i="11"/>
  <c r="GM71" i="11"/>
  <c r="GL71" i="11"/>
  <c r="GK71" i="11"/>
  <c r="GJ71" i="11"/>
  <c r="GB71" i="11"/>
  <c r="GA71" i="11"/>
  <c r="FZ71" i="11"/>
  <c r="FY71" i="11"/>
  <c r="FX71" i="11"/>
  <c r="FW71" i="11"/>
  <c r="FP71" i="11"/>
  <c r="FO71" i="11"/>
  <c r="FN71" i="11"/>
  <c r="FM71" i="11"/>
  <c r="FL71" i="11"/>
  <c r="FK71" i="11"/>
  <c r="FD71" i="11"/>
  <c r="FC71" i="11"/>
  <c r="FB71" i="11"/>
  <c r="FA71" i="11"/>
  <c r="EZ71" i="11"/>
  <c r="EY71" i="11"/>
  <c r="ER71" i="11"/>
  <c r="EQ71" i="11"/>
  <c r="EP71" i="11"/>
  <c r="EO71" i="11"/>
  <c r="EN71" i="11"/>
  <c r="EM71" i="11"/>
  <c r="EF71" i="11"/>
  <c r="EE71" i="11"/>
  <c r="ED71" i="11"/>
  <c r="EC71" i="11"/>
  <c r="EB71" i="11"/>
  <c r="EA71" i="11"/>
  <c r="DT71" i="11"/>
  <c r="DS71" i="11"/>
  <c r="DR71" i="11"/>
  <c r="DQ71" i="11"/>
  <c r="DP71" i="11"/>
  <c r="DO71" i="11"/>
  <c r="DH71" i="11"/>
  <c r="DG71" i="11"/>
  <c r="DF71" i="11"/>
  <c r="DE71" i="11"/>
  <c r="DD71" i="11"/>
  <c r="DC71" i="11"/>
  <c r="CV71" i="11"/>
  <c r="CU71" i="11"/>
  <c r="CT71" i="11"/>
  <c r="CS71" i="11"/>
  <c r="CR71" i="11"/>
  <c r="CQ71" i="11"/>
  <c r="CJ71" i="11"/>
  <c r="CI71" i="11"/>
  <c r="CH71" i="11"/>
  <c r="CG71" i="11"/>
  <c r="CF71" i="11"/>
  <c r="CE71" i="11"/>
  <c r="BX71" i="11"/>
  <c r="BW71" i="11"/>
  <c r="BV71" i="11"/>
  <c r="BU71" i="11"/>
  <c r="BT71" i="11"/>
  <c r="BS71" i="11"/>
  <c r="BK71" i="11"/>
  <c r="BJ71" i="11"/>
  <c r="BI71" i="11"/>
  <c r="BH71" i="11"/>
  <c r="BG71" i="11"/>
  <c r="BF71" i="11"/>
  <c r="AY71" i="11"/>
  <c r="AX71" i="11"/>
  <c r="AW71" i="11"/>
  <c r="AV71" i="11"/>
  <c r="AU71" i="11"/>
  <c r="AT71" i="11"/>
  <c r="AM71" i="11"/>
  <c r="AL71" i="11"/>
  <c r="AK71" i="11"/>
  <c r="AJ71" i="11"/>
  <c r="AI71" i="11"/>
  <c r="AH71" i="11"/>
  <c r="AA71" i="11"/>
  <c r="Z71" i="11"/>
  <c r="Y71" i="11"/>
  <c r="X71" i="11"/>
  <c r="W71" i="11"/>
  <c r="V71" i="11"/>
  <c r="O71" i="11"/>
  <c r="N71" i="11"/>
  <c r="M71" i="11"/>
  <c r="L71" i="11"/>
  <c r="K71" i="11"/>
  <c r="J71" i="11"/>
  <c r="C71" i="11"/>
  <c r="IK69" i="11"/>
  <c r="IJ69" i="11"/>
  <c r="II69" i="11"/>
  <c r="IH69" i="11"/>
  <c r="IG69" i="11"/>
  <c r="IF69" i="11"/>
  <c r="HY69" i="11"/>
  <c r="HX69" i="11"/>
  <c r="HW69" i="11"/>
  <c r="HV69" i="11"/>
  <c r="HU69" i="11"/>
  <c r="HT69" i="11"/>
  <c r="HM69" i="11"/>
  <c r="HL69" i="11"/>
  <c r="HK69" i="11"/>
  <c r="HJ69" i="11"/>
  <c r="HI69" i="11"/>
  <c r="HH69" i="11"/>
  <c r="HA69" i="11"/>
  <c r="GZ69" i="11"/>
  <c r="GY69" i="11"/>
  <c r="GX69" i="11"/>
  <c r="GW69" i="11"/>
  <c r="GV69" i="11"/>
  <c r="GO69" i="11"/>
  <c r="GN69" i="11"/>
  <c r="GM69" i="11"/>
  <c r="GL69" i="11"/>
  <c r="GK69" i="11"/>
  <c r="GJ69" i="11"/>
  <c r="GB69" i="11"/>
  <c r="GA69" i="11"/>
  <c r="FZ69" i="11"/>
  <c r="FY69" i="11"/>
  <c r="FX69" i="11"/>
  <c r="FW69" i="11"/>
  <c r="FP69" i="11"/>
  <c r="FO69" i="11"/>
  <c r="FN69" i="11"/>
  <c r="FM69" i="11"/>
  <c r="FL69" i="11"/>
  <c r="FK69" i="11"/>
  <c r="FD69" i="11"/>
  <c r="FC69" i="11"/>
  <c r="FB69" i="11"/>
  <c r="FA69" i="11"/>
  <c r="EZ69" i="11"/>
  <c r="EY69" i="11"/>
  <c r="ER69" i="11"/>
  <c r="EQ69" i="11"/>
  <c r="EP69" i="11"/>
  <c r="EO69" i="11"/>
  <c r="EN69" i="11"/>
  <c r="EM69" i="11"/>
  <c r="EF69" i="11"/>
  <c r="EE69" i="11"/>
  <c r="ED69" i="11"/>
  <c r="EC69" i="11"/>
  <c r="EB69" i="11"/>
  <c r="EA69" i="11"/>
  <c r="DT69" i="11"/>
  <c r="DS69" i="11"/>
  <c r="DR69" i="11"/>
  <c r="DQ69" i="11"/>
  <c r="DP69" i="11"/>
  <c r="DO69" i="11"/>
  <c r="DH69" i="11"/>
  <c r="DG69" i="11"/>
  <c r="DF69" i="11"/>
  <c r="DE69" i="11"/>
  <c r="DD69" i="11"/>
  <c r="DC69" i="11"/>
  <c r="CV69" i="11"/>
  <c r="CU69" i="11"/>
  <c r="CT69" i="11"/>
  <c r="CS69" i="11"/>
  <c r="CR69" i="11"/>
  <c r="CQ69" i="11"/>
  <c r="CJ69" i="11"/>
  <c r="CI69" i="11"/>
  <c r="CH69" i="11"/>
  <c r="CG69" i="11"/>
  <c r="CF69" i="11"/>
  <c r="CE69" i="11"/>
  <c r="BX69" i="11"/>
  <c r="BW69" i="11"/>
  <c r="BV69" i="11"/>
  <c r="BU69" i="11"/>
  <c r="BT69" i="11"/>
  <c r="BS69" i="11"/>
  <c r="BK69" i="11"/>
  <c r="BJ69" i="11"/>
  <c r="BI69" i="11"/>
  <c r="BH69" i="11"/>
  <c r="BG69" i="11"/>
  <c r="BF69" i="11"/>
  <c r="AY69" i="11"/>
  <c r="AX69" i="11"/>
  <c r="AW69" i="11"/>
  <c r="AV69" i="11"/>
  <c r="AU69" i="11"/>
  <c r="AT69" i="11"/>
  <c r="AM69" i="11"/>
  <c r="AL69" i="11"/>
  <c r="AK69" i="11"/>
  <c r="AJ69" i="11"/>
  <c r="AI69" i="11"/>
  <c r="AH69" i="11"/>
  <c r="AA69" i="11"/>
  <c r="Z69" i="11"/>
  <c r="Y69" i="11"/>
  <c r="X69" i="11"/>
  <c r="W69" i="11"/>
  <c r="V69" i="11"/>
  <c r="O69" i="11"/>
  <c r="N69" i="11"/>
  <c r="M69" i="11"/>
  <c r="L69" i="11"/>
  <c r="K69" i="11"/>
  <c r="J69" i="11"/>
  <c r="C69" i="11"/>
  <c r="IK67" i="11"/>
  <c r="IJ67" i="11"/>
  <c r="II67" i="11"/>
  <c r="IH67" i="11"/>
  <c r="IG67" i="11"/>
  <c r="IF67" i="11"/>
  <c r="HY67" i="11"/>
  <c r="HX67" i="11"/>
  <c r="HW67" i="11"/>
  <c r="HV67" i="11"/>
  <c r="HU67" i="11"/>
  <c r="HT67" i="11"/>
  <c r="HM67" i="11"/>
  <c r="HL67" i="11"/>
  <c r="HK67" i="11"/>
  <c r="HJ67" i="11"/>
  <c r="HI67" i="11"/>
  <c r="HH67" i="11"/>
  <c r="HA67" i="11"/>
  <c r="GZ67" i="11"/>
  <c r="GY67" i="11"/>
  <c r="GX67" i="11"/>
  <c r="GW67" i="11"/>
  <c r="GV67" i="11"/>
  <c r="GO67" i="11"/>
  <c r="GN67" i="11"/>
  <c r="GM67" i="11"/>
  <c r="GL67" i="11"/>
  <c r="GK67" i="11"/>
  <c r="GJ67" i="11"/>
  <c r="GB67" i="11"/>
  <c r="GA67" i="11"/>
  <c r="FZ67" i="11"/>
  <c r="FY67" i="11"/>
  <c r="FX67" i="11"/>
  <c r="FW67" i="11"/>
  <c r="FP67" i="11"/>
  <c r="FO67" i="11"/>
  <c r="FN67" i="11"/>
  <c r="FM67" i="11"/>
  <c r="FL67" i="11"/>
  <c r="FK67" i="11"/>
  <c r="FD67" i="11"/>
  <c r="FC67" i="11"/>
  <c r="FB67" i="11"/>
  <c r="FA67" i="11"/>
  <c r="EZ67" i="11"/>
  <c r="EY67" i="11"/>
  <c r="ER67" i="11"/>
  <c r="EQ67" i="11"/>
  <c r="EP67" i="11"/>
  <c r="EO67" i="11"/>
  <c r="EN67" i="11"/>
  <c r="EM67" i="11"/>
  <c r="EF67" i="11"/>
  <c r="EE67" i="11"/>
  <c r="ED67" i="11"/>
  <c r="EC67" i="11"/>
  <c r="EB67" i="11"/>
  <c r="EA67" i="11"/>
  <c r="DT67" i="11"/>
  <c r="DS67" i="11"/>
  <c r="DR67" i="11"/>
  <c r="DQ67" i="11"/>
  <c r="DP67" i="11"/>
  <c r="DO67" i="11"/>
  <c r="DH67" i="11"/>
  <c r="DG67" i="11"/>
  <c r="DF67" i="11"/>
  <c r="DE67" i="11"/>
  <c r="DD67" i="11"/>
  <c r="DC67" i="11"/>
  <c r="CV67" i="11"/>
  <c r="CU67" i="11"/>
  <c r="CT67" i="11"/>
  <c r="CS67" i="11"/>
  <c r="CR67" i="11"/>
  <c r="CQ67" i="11"/>
  <c r="CJ67" i="11"/>
  <c r="CI67" i="11"/>
  <c r="CH67" i="11"/>
  <c r="CG67" i="11"/>
  <c r="CF67" i="11"/>
  <c r="CE67" i="11"/>
  <c r="BX67" i="11"/>
  <c r="BW67" i="11"/>
  <c r="BV67" i="11"/>
  <c r="BU67" i="11"/>
  <c r="BT67" i="11"/>
  <c r="BS67" i="11"/>
  <c r="BK67" i="11"/>
  <c r="BJ67" i="11"/>
  <c r="BI67" i="11"/>
  <c r="BH67" i="11"/>
  <c r="BG67" i="11"/>
  <c r="BF67" i="11"/>
  <c r="AY67" i="11"/>
  <c r="AX67" i="11"/>
  <c r="AW67" i="11"/>
  <c r="AV67" i="11"/>
  <c r="AU67" i="11"/>
  <c r="AT67" i="11"/>
  <c r="AM67" i="11"/>
  <c r="AL67" i="11"/>
  <c r="AK67" i="11"/>
  <c r="AJ67" i="11"/>
  <c r="AI67" i="11"/>
  <c r="AH67" i="11"/>
  <c r="AA67" i="11"/>
  <c r="Z67" i="11"/>
  <c r="Y67" i="11"/>
  <c r="X67" i="11"/>
  <c r="W67" i="11"/>
  <c r="V67" i="11"/>
  <c r="O67" i="11"/>
  <c r="N67" i="11"/>
  <c r="M67" i="11"/>
  <c r="L67" i="11"/>
  <c r="K67" i="11"/>
  <c r="J67" i="11"/>
  <c r="C67" i="11"/>
  <c r="IK65" i="11"/>
  <c r="IJ65" i="11"/>
  <c r="II65" i="11"/>
  <c r="IH65" i="11"/>
  <c r="IG65" i="11"/>
  <c r="IF65" i="11"/>
  <c r="HY65" i="11"/>
  <c r="HX65" i="11"/>
  <c r="HW65" i="11"/>
  <c r="HV65" i="11"/>
  <c r="HU65" i="11"/>
  <c r="HT65" i="11"/>
  <c r="HM65" i="11"/>
  <c r="HL65" i="11"/>
  <c r="HK65" i="11"/>
  <c r="HJ65" i="11"/>
  <c r="HI65" i="11"/>
  <c r="HH65" i="11"/>
  <c r="HA65" i="11"/>
  <c r="GZ65" i="11"/>
  <c r="GY65" i="11"/>
  <c r="GX65" i="11"/>
  <c r="GW65" i="11"/>
  <c r="GV65" i="11"/>
  <c r="GO65" i="11"/>
  <c r="GN65" i="11"/>
  <c r="GM65" i="11"/>
  <c r="GL65" i="11"/>
  <c r="GK65" i="11"/>
  <c r="GJ65" i="11"/>
  <c r="GB65" i="11"/>
  <c r="GA65" i="11"/>
  <c r="FZ65" i="11"/>
  <c r="FY65" i="11"/>
  <c r="FX65" i="11"/>
  <c r="FW65" i="11"/>
  <c r="FP65" i="11"/>
  <c r="FO65" i="11"/>
  <c r="FN65" i="11"/>
  <c r="FM65" i="11"/>
  <c r="FL65" i="11"/>
  <c r="FK65" i="11"/>
  <c r="FD65" i="11"/>
  <c r="FC65" i="11"/>
  <c r="FB65" i="11"/>
  <c r="FA65" i="11"/>
  <c r="EZ65" i="11"/>
  <c r="EY65" i="11"/>
  <c r="ER65" i="11"/>
  <c r="EQ65" i="11"/>
  <c r="EP65" i="11"/>
  <c r="EO65" i="11"/>
  <c r="EN65" i="11"/>
  <c r="EM65" i="11"/>
  <c r="EF65" i="11"/>
  <c r="EE65" i="11"/>
  <c r="ED65" i="11"/>
  <c r="EC65" i="11"/>
  <c r="EB65" i="11"/>
  <c r="EA65" i="11"/>
  <c r="DT65" i="11"/>
  <c r="DS65" i="11"/>
  <c r="DR65" i="11"/>
  <c r="DQ65" i="11"/>
  <c r="DP65" i="11"/>
  <c r="DO65" i="11"/>
  <c r="DH65" i="11"/>
  <c r="DG65" i="11"/>
  <c r="DF65" i="11"/>
  <c r="DE65" i="11"/>
  <c r="DD65" i="11"/>
  <c r="DC65" i="11"/>
  <c r="CV65" i="11"/>
  <c r="CU65" i="11"/>
  <c r="CT65" i="11"/>
  <c r="CS65" i="11"/>
  <c r="CR65" i="11"/>
  <c r="CQ65" i="11"/>
  <c r="CJ65" i="11"/>
  <c r="CI65" i="11"/>
  <c r="CH65" i="11"/>
  <c r="CG65" i="11"/>
  <c r="CF65" i="11"/>
  <c r="CE65" i="11"/>
  <c r="BX65" i="11"/>
  <c r="BW65" i="11"/>
  <c r="BV65" i="11"/>
  <c r="BU65" i="11"/>
  <c r="BT65" i="11"/>
  <c r="BS65" i="11"/>
  <c r="BK65" i="11"/>
  <c r="BJ65" i="11"/>
  <c r="BI65" i="11"/>
  <c r="BH65" i="11"/>
  <c r="BG65" i="11"/>
  <c r="BF65" i="11"/>
  <c r="AY65" i="11"/>
  <c r="AX65" i="11"/>
  <c r="AW65" i="11"/>
  <c r="AV65" i="11"/>
  <c r="AU65" i="11"/>
  <c r="AT65" i="11"/>
  <c r="AM65" i="11"/>
  <c r="AL65" i="11"/>
  <c r="AK65" i="11"/>
  <c r="AJ65" i="11"/>
  <c r="AI65" i="11"/>
  <c r="AH65" i="11"/>
  <c r="AA65" i="11"/>
  <c r="Z65" i="11"/>
  <c r="Y65" i="11"/>
  <c r="X65" i="11"/>
  <c r="W65" i="11"/>
  <c r="V65" i="11"/>
  <c r="O65" i="11"/>
  <c r="N65" i="11"/>
  <c r="M65" i="11"/>
  <c r="L65" i="11"/>
  <c r="K65" i="11"/>
  <c r="J65" i="11"/>
  <c r="C65" i="11"/>
  <c r="IK63" i="11"/>
  <c r="IJ63" i="11"/>
  <c r="II63" i="11"/>
  <c r="IH63" i="11"/>
  <c r="IG63" i="11"/>
  <c r="IF63" i="11"/>
  <c r="HY63" i="11"/>
  <c r="HX63" i="11"/>
  <c r="HW63" i="11"/>
  <c r="HV63" i="11"/>
  <c r="HU63" i="11"/>
  <c r="HT63" i="11"/>
  <c r="HM63" i="11"/>
  <c r="HL63" i="11"/>
  <c r="HK63" i="11"/>
  <c r="HJ63" i="11"/>
  <c r="HI63" i="11"/>
  <c r="HH63" i="11"/>
  <c r="HA63" i="11"/>
  <c r="GZ63" i="11"/>
  <c r="GY63" i="11"/>
  <c r="GX63" i="11"/>
  <c r="GW63" i="11"/>
  <c r="GV63" i="11"/>
  <c r="GO63" i="11"/>
  <c r="GN63" i="11"/>
  <c r="GM63" i="11"/>
  <c r="GL63" i="11"/>
  <c r="GK63" i="11"/>
  <c r="GJ63" i="11"/>
  <c r="GB63" i="11"/>
  <c r="GA63" i="11"/>
  <c r="FZ63" i="11"/>
  <c r="FY63" i="11"/>
  <c r="FX63" i="11"/>
  <c r="FW63" i="11"/>
  <c r="FP63" i="11"/>
  <c r="FO63" i="11"/>
  <c r="FN63" i="11"/>
  <c r="FM63" i="11"/>
  <c r="FL63" i="11"/>
  <c r="FK63" i="11"/>
  <c r="FD63" i="11"/>
  <c r="FC63" i="11"/>
  <c r="FB63" i="11"/>
  <c r="FA63" i="11"/>
  <c r="EZ63" i="11"/>
  <c r="EY63" i="11"/>
  <c r="ER63" i="11"/>
  <c r="EQ63" i="11"/>
  <c r="EP63" i="11"/>
  <c r="EO63" i="11"/>
  <c r="EN63" i="11"/>
  <c r="EM63" i="11"/>
  <c r="EF63" i="11"/>
  <c r="EE63" i="11"/>
  <c r="ED63" i="11"/>
  <c r="EC63" i="11"/>
  <c r="EB63" i="11"/>
  <c r="EA63" i="11"/>
  <c r="DT63" i="11"/>
  <c r="DS63" i="11"/>
  <c r="DR63" i="11"/>
  <c r="DQ63" i="11"/>
  <c r="DP63" i="11"/>
  <c r="DO63" i="11"/>
  <c r="DH63" i="11"/>
  <c r="DG63" i="11"/>
  <c r="DF63" i="11"/>
  <c r="DE63" i="11"/>
  <c r="DD63" i="11"/>
  <c r="DC63" i="11"/>
  <c r="CV63" i="11"/>
  <c r="CU63" i="11"/>
  <c r="CT63" i="11"/>
  <c r="CS63" i="11"/>
  <c r="CR63" i="11"/>
  <c r="CQ63" i="11"/>
  <c r="CJ63" i="11"/>
  <c r="CI63" i="11"/>
  <c r="CH63" i="11"/>
  <c r="CG63" i="11"/>
  <c r="CF63" i="11"/>
  <c r="CE63" i="11"/>
  <c r="BX63" i="11"/>
  <c r="BW63" i="11"/>
  <c r="BV63" i="11"/>
  <c r="BU63" i="11"/>
  <c r="BT63" i="11"/>
  <c r="BS63" i="11"/>
  <c r="BK63" i="11"/>
  <c r="BJ63" i="11"/>
  <c r="BI63" i="11"/>
  <c r="BH63" i="11"/>
  <c r="BG63" i="11"/>
  <c r="BF63" i="11"/>
  <c r="AY63" i="11"/>
  <c r="AX63" i="11"/>
  <c r="AW63" i="11"/>
  <c r="AV63" i="11"/>
  <c r="AU63" i="11"/>
  <c r="AT63" i="11"/>
  <c r="AM63" i="11"/>
  <c r="AL63" i="11"/>
  <c r="AK63" i="11"/>
  <c r="AJ63" i="11"/>
  <c r="AI63" i="11"/>
  <c r="AH63" i="11"/>
  <c r="AA63" i="11"/>
  <c r="Z63" i="11"/>
  <c r="Y63" i="11"/>
  <c r="X63" i="11"/>
  <c r="W63" i="11"/>
  <c r="V63" i="11"/>
  <c r="O63" i="11"/>
  <c r="N63" i="11"/>
  <c r="M63" i="11"/>
  <c r="L63" i="11"/>
  <c r="K63" i="11"/>
  <c r="J63" i="11"/>
  <c r="C63" i="11"/>
  <c r="IK61" i="11"/>
  <c r="IJ61" i="11"/>
  <c r="II61" i="11"/>
  <c r="IH61" i="11"/>
  <c r="IG61" i="11"/>
  <c r="IF61" i="11"/>
  <c r="HY61" i="11"/>
  <c r="HX61" i="11"/>
  <c r="HW61" i="11"/>
  <c r="HV61" i="11"/>
  <c r="HU61" i="11"/>
  <c r="HT61" i="11"/>
  <c r="HM61" i="11"/>
  <c r="HL61" i="11"/>
  <c r="HK61" i="11"/>
  <c r="HJ61" i="11"/>
  <c r="HI61" i="11"/>
  <c r="HH61" i="11"/>
  <c r="HA61" i="11"/>
  <c r="GZ61" i="11"/>
  <c r="GY61" i="11"/>
  <c r="GX61" i="11"/>
  <c r="GW61" i="11"/>
  <c r="GV61" i="11"/>
  <c r="GO61" i="11"/>
  <c r="GN61" i="11"/>
  <c r="GM61" i="11"/>
  <c r="GL61" i="11"/>
  <c r="GK61" i="11"/>
  <c r="GJ61" i="11"/>
  <c r="GB61" i="11"/>
  <c r="GA61" i="11"/>
  <c r="FZ61" i="11"/>
  <c r="FY61" i="11"/>
  <c r="FX61" i="11"/>
  <c r="FW61" i="11"/>
  <c r="FP61" i="11"/>
  <c r="FO61" i="11"/>
  <c r="FN61" i="11"/>
  <c r="FM61" i="11"/>
  <c r="FL61" i="11"/>
  <c r="FK61" i="11"/>
  <c r="FD61" i="11"/>
  <c r="FC61" i="11"/>
  <c r="FB61" i="11"/>
  <c r="FA61" i="11"/>
  <c r="EZ61" i="11"/>
  <c r="EY61" i="11"/>
  <c r="ER61" i="11"/>
  <c r="EQ61" i="11"/>
  <c r="EP61" i="11"/>
  <c r="EO61" i="11"/>
  <c r="EN61" i="11"/>
  <c r="EM61" i="11"/>
  <c r="EF61" i="11"/>
  <c r="EE61" i="11"/>
  <c r="ED61" i="11"/>
  <c r="EC61" i="11"/>
  <c r="EB61" i="11"/>
  <c r="EA61" i="11"/>
  <c r="DT61" i="11"/>
  <c r="DS61" i="11"/>
  <c r="DR61" i="11"/>
  <c r="DQ61" i="11"/>
  <c r="DP61" i="11"/>
  <c r="DO61" i="11"/>
  <c r="DH61" i="11"/>
  <c r="DG61" i="11"/>
  <c r="DF61" i="11"/>
  <c r="DE61" i="11"/>
  <c r="DD61" i="11"/>
  <c r="DC61" i="11"/>
  <c r="CV61" i="11"/>
  <c r="CU61" i="11"/>
  <c r="CT61" i="11"/>
  <c r="CS61" i="11"/>
  <c r="CR61" i="11"/>
  <c r="CQ61" i="11"/>
  <c r="CJ61" i="11"/>
  <c r="CI61" i="11"/>
  <c r="CH61" i="11"/>
  <c r="CG61" i="11"/>
  <c r="CF61" i="11"/>
  <c r="CE61" i="11"/>
  <c r="BX61" i="11"/>
  <c r="BW61" i="11"/>
  <c r="BV61" i="11"/>
  <c r="BU61" i="11"/>
  <c r="BT61" i="11"/>
  <c r="BS61" i="11"/>
  <c r="BK61" i="11"/>
  <c r="BJ61" i="11"/>
  <c r="BI61" i="11"/>
  <c r="BH61" i="11"/>
  <c r="BG61" i="11"/>
  <c r="BF61" i="11"/>
  <c r="AY61" i="11"/>
  <c r="AX61" i="11"/>
  <c r="AW61" i="11"/>
  <c r="AV61" i="11"/>
  <c r="AU61" i="11"/>
  <c r="AT61" i="11"/>
  <c r="AM61" i="11"/>
  <c r="AL61" i="11"/>
  <c r="AK61" i="11"/>
  <c r="AJ61" i="11"/>
  <c r="AI61" i="11"/>
  <c r="AH61" i="11"/>
  <c r="AA61" i="11"/>
  <c r="Z61" i="11"/>
  <c r="Y61" i="11"/>
  <c r="X61" i="11"/>
  <c r="W61" i="11"/>
  <c r="V61" i="11"/>
  <c r="O61" i="11"/>
  <c r="N61" i="11"/>
  <c r="M61" i="11"/>
  <c r="L61" i="11"/>
  <c r="K61" i="11"/>
  <c r="J61" i="11"/>
  <c r="C61" i="11"/>
  <c r="IK59" i="11"/>
  <c r="IJ59" i="11"/>
  <c r="II59" i="11"/>
  <c r="IH59" i="11"/>
  <c r="IG59" i="11"/>
  <c r="IF59" i="11"/>
  <c r="HY59" i="11"/>
  <c r="HX59" i="11"/>
  <c r="HW59" i="11"/>
  <c r="HV59" i="11"/>
  <c r="HU59" i="11"/>
  <c r="HT59" i="11"/>
  <c r="HM59" i="11"/>
  <c r="HL59" i="11"/>
  <c r="HK59" i="11"/>
  <c r="HJ59" i="11"/>
  <c r="HI59" i="11"/>
  <c r="HH59" i="11"/>
  <c r="HA59" i="11"/>
  <c r="GZ59" i="11"/>
  <c r="GY59" i="11"/>
  <c r="GX59" i="11"/>
  <c r="GW59" i="11"/>
  <c r="GV59" i="11"/>
  <c r="GO59" i="11"/>
  <c r="GN59" i="11"/>
  <c r="GM59" i="11"/>
  <c r="GL59" i="11"/>
  <c r="GK59" i="11"/>
  <c r="GJ59" i="11"/>
  <c r="GB59" i="11"/>
  <c r="GA59" i="11"/>
  <c r="FZ59" i="11"/>
  <c r="FY59" i="11"/>
  <c r="FX59" i="11"/>
  <c r="FW59" i="11"/>
  <c r="FP59" i="11"/>
  <c r="FO59" i="11"/>
  <c r="FN59" i="11"/>
  <c r="FM59" i="11"/>
  <c r="FL59" i="11"/>
  <c r="FK59" i="11"/>
  <c r="FD59" i="11"/>
  <c r="FC59" i="11"/>
  <c r="FB59" i="11"/>
  <c r="FA59" i="11"/>
  <c r="EZ59" i="11"/>
  <c r="EY59" i="11"/>
  <c r="ER59" i="11"/>
  <c r="EQ59" i="11"/>
  <c r="EP59" i="11"/>
  <c r="EO59" i="11"/>
  <c r="EN59" i="11"/>
  <c r="EM59" i="11"/>
  <c r="EF59" i="11"/>
  <c r="EE59" i="11"/>
  <c r="ED59" i="11"/>
  <c r="EC59" i="11"/>
  <c r="EB59" i="11"/>
  <c r="EA59" i="11"/>
  <c r="DT59" i="11"/>
  <c r="DS59" i="11"/>
  <c r="DR59" i="11"/>
  <c r="DQ59" i="11"/>
  <c r="DP59" i="11"/>
  <c r="DO59" i="11"/>
  <c r="DH59" i="11"/>
  <c r="DG59" i="11"/>
  <c r="DF59" i="11"/>
  <c r="DE59" i="11"/>
  <c r="DD59" i="11"/>
  <c r="DC59" i="11"/>
  <c r="CV59" i="11"/>
  <c r="CU59" i="11"/>
  <c r="CT59" i="11"/>
  <c r="CS59" i="11"/>
  <c r="CR59" i="11"/>
  <c r="CQ59" i="11"/>
  <c r="CJ59" i="11"/>
  <c r="CI59" i="11"/>
  <c r="CH59" i="11"/>
  <c r="CG59" i="11"/>
  <c r="CF59" i="11"/>
  <c r="CE59" i="11"/>
  <c r="BX59" i="11"/>
  <c r="BW59" i="11"/>
  <c r="BV59" i="11"/>
  <c r="BU59" i="11"/>
  <c r="BT59" i="11"/>
  <c r="BS59" i="11"/>
  <c r="BK59" i="11"/>
  <c r="BJ59" i="11"/>
  <c r="BI59" i="11"/>
  <c r="BH59" i="11"/>
  <c r="BG59" i="11"/>
  <c r="BF59" i="11"/>
  <c r="AY59" i="11"/>
  <c r="AX59" i="11"/>
  <c r="AW59" i="11"/>
  <c r="AV59" i="11"/>
  <c r="AU59" i="11"/>
  <c r="AT59" i="11"/>
  <c r="AM59" i="11"/>
  <c r="AL59" i="11"/>
  <c r="AK59" i="11"/>
  <c r="AJ59" i="11"/>
  <c r="AI59" i="11"/>
  <c r="AH59" i="11"/>
  <c r="AA59" i="11"/>
  <c r="Z59" i="11"/>
  <c r="Y59" i="11"/>
  <c r="X59" i="11"/>
  <c r="W59" i="11"/>
  <c r="V59" i="11"/>
  <c r="O59" i="11"/>
  <c r="N59" i="11"/>
  <c r="M59" i="11"/>
  <c r="L59" i="11"/>
  <c r="K59" i="11"/>
  <c r="J59" i="11"/>
  <c r="C59" i="11"/>
  <c r="IK57" i="11"/>
  <c r="IJ57" i="11"/>
  <c r="II57" i="11"/>
  <c r="IH57" i="11"/>
  <c r="IG57" i="11"/>
  <c r="IF57" i="11"/>
  <c r="HY57" i="11"/>
  <c r="HX57" i="11"/>
  <c r="HW57" i="11"/>
  <c r="HV57" i="11"/>
  <c r="HU57" i="11"/>
  <c r="HT57" i="11"/>
  <c r="HM57" i="11"/>
  <c r="HL57" i="11"/>
  <c r="HK57" i="11"/>
  <c r="HJ57" i="11"/>
  <c r="HI57" i="11"/>
  <c r="HH57" i="11"/>
  <c r="HA57" i="11"/>
  <c r="GZ57" i="11"/>
  <c r="GY57" i="11"/>
  <c r="GX57" i="11"/>
  <c r="GW57" i="11"/>
  <c r="GV57" i="11"/>
  <c r="GO57" i="11"/>
  <c r="GN57" i="11"/>
  <c r="GM57" i="11"/>
  <c r="GL57" i="11"/>
  <c r="GK57" i="11"/>
  <c r="GJ57" i="11"/>
  <c r="GB57" i="11"/>
  <c r="GA57" i="11"/>
  <c r="FZ57" i="11"/>
  <c r="FY57" i="11"/>
  <c r="FX57" i="11"/>
  <c r="FW57" i="11"/>
  <c r="FP57" i="11"/>
  <c r="FO57" i="11"/>
  <c r="FN57" i="11"/>
  <c r="FM57" i="11"/>
  <c r="FL57" i="11"/>
  <c r="FK57" i="11"/>
  <c r="FD57" i="11"/>
  <c r="FC57" i="11"/>
  <c r="FB57" i="11"/>
  <c r="FA57" i="11"/>
  <c r="EZ57" i="11"/>
  <c r="EY57" i="11"/>
  <c r="ER57" i="11"/>
  <c r="EQ57" i="11"/>
  <c r="EP57" i="11"/>
  <c r="EO57" i="11"/>
  <c r="EN57" i="11"/>
  <c r="EM57" i="11"/>
  <c r="EF57" i="11"/>
  <c r="EE57" i="11"/>
  <c r="ED57" i="11"/>
  <c r="EC57" i="11"/>
  <c r="EB57" i="11"/>
  <c r="EA57" i="11"/>
  <c r="DT57" i="11"/>
  <c r="DS57" i="11"/>
  <c r="DR57" i="11"/>
  <c r="DQ57" i="11"/>
  <c r="DP57" i="11"/>
  <c r="DO57" i="11"/>
  <c r="DH57" i="11"/>
  <c r="DG57" i="11"/>
  <c r="DF57" i="11"/>
  <c r="DE57" i="11"/>
  <c r="DD57" i="11"/>
  <c r="DC57" i="11"/>
  <c r="CV57" i="11"/>
  <c r="CU57" i="11"/>
  <c r="CT57" i="11"/>
  <c r="CS57" i="11"/>
  <c r="CR57" i="11"/>
  <c r="CQ57" i="11"/>
  <c r="CJ57" i="11"/>
  <c r="CI57" i="11"/>
  <c r="CH57" i="11"/>
  <c r="CG57" i="11"/>
  <c r="CF57" i="11"/>
  <c r="CE57" i="11"/>
  <c r="BX57" i="11"/>
  <c r="BW57" i="11"/>
  <c r="BV57" i="11"/>
  <c r="BU57" i="11"/>
  <c r="BT57" i="11"/>
  <c r="BS57" i="11"/>
  <c r="BK57" i="11"/>
  <c r="BJ57" i="11"/>
  <c r="BI57" i="11"/>
  <c r="BH57" i="11"/>
  <c r="BG57" i="11"/>
  <c r="BF57" i="11"/>
  <c r="AY57" i="11"/>
  <c r="AX57" i="11"/>
  <c r="AW57" i="11"/>
  <c r="AV57" i="11"/>
  <c r="AU57" i="11"/>
  <c r="AT57" i="11"/>
  <c r="AM57" i="11"/>
  <c r="AL57" i="11"/>
  <c r="AK57" i="11"/>
  <c r="AJ57" i="11"/>
  <c r="AI57" i="11"/>
  <c r="AH57" i="11"/>
  <c r="AA57" i="11"/>
  <c r="Z57" i="11"/>
  <c r="Y57" i="11"/>
  <c r="X57" i="11"/>
  <c r="W57" i="11"/>
  <c r="V57" i="11"/>
  <c r="O57" i="11"/>
  <c r="N57" i="11"/>
  <c r="M57" i="11"/>
  <c r="L57" i="11"/>
  <c r="K57" i="11"/>
  <c r="J57" i="11"/>
  <c r="C57" i="11"/>
  <c r="IK55" i="11"/>
  <c r="IJ55" i="11"/>
  <c r="II55" i="11"/>
  <c r="IH55" i="11"/>
  <c r="IG55" i="11"/>
  <c r="IF55" i="11"/>
  <c r="HY55" i="11"/>
  <c r="HX55" i="11"/>
  <c r="HW55" i="11"/>
  <c r="HV55" i="11"/>
  <c r="HU55" i="11"/>
  <c r="HT55" i="11"/>
  <c r="HM55" i="11"/>
  <c r="HL55" i="11"/>
  <c r="HK55" i="11"/>
  <c r="HJ55" i="11"/>
  <c r="HI55" i="11"/>
  <c r="HH55" i="11"/>
  <c r="HA55" i="11"/>
  <c r="GZ55" i="11"/>
  <c r="GY55" i="11"/>
  <c r="GX55" i="11"/>
  <c r="GW55" i="11"/>
  <c r="GV55" i="11"/>
  <c r="GO55" i="11"/>
  <c r="GN55" i="11"/>
  <c r="GM55" i="11"/>
  <c r="GL55" i="11"/>
  <c r="GK55" i="11"/>
  <c r="GJ55" i="11"/>
  <c r="GB55" i="11"/>
  <c r="GA55" i="11"/>
  <c r="FZ55" i="11"/>
  <c r="FY55" i="11"/>
  <c r="FX55" i="11"/>
  <c r="FW55" i="11"/>
  <c r="FP55" i="11"/>
  <c r="FO55" i="11"/>
  <c r="FN55" i="11"/>
  <c r="FM55" i="11"/>
  <c r="FL55" i="11"/>
  <c r="FK55" i="11"/>
  <c r="FD55" i="11"/>
  <c r="FC55" i="11"/>
  <c r="FB55" i="11"/>
  <c r="FA55" i="11"/>
  <c r="EZ55" i="11"/>
  <c r="EY55" i="11"/>
  <c r="ER55" i="11"/>
  <c r="EQ55" i="11"/>
  <c r="EP55" i="11"/>
  <c r="EO55" i="11"/>
  <c r="EN55" i="11"/>
  <c r="EM55" i="11"/>
  <c r="EF55" i="11"/>
  <c r="EE55" i="11"/>
  <c r="ED55" i="11"/>
  <c r="EC55" i="11"/>
  <c r="EB55" i="11"/>
  <c r="EA55" i="11"/>
  <c r="DT55" i="11"/>
  <c r="DS55" i="11"/>
  <c r="DR55" i="11"/>
  <c r="DQ55" i="11"/>
  <c r="DP55" i="11"/>
  <c r="DO55" i="11"/>
  <c r="DH55" i="11"/>
  <c r="DG55" i="11"/>
  <c r="DF55" i="11"/>
  <c r="DE55" i="11"/>
  <c r="DD55" i="11"/>
  <c r="DC55" i="11"/>
  <c r="CV55" i="11"/>
  <c r="CU55" i="11"/>
  <c r="CT55" i="11"/>
  <c r="CS55" i="11"/>
  <c r="CR55" i="11"/>
  <c r="CQ55" i="11"/>
  <c r="CJ55" i="11"/>
  <c r="CI55" i="11"/>
  <c r="CH55" i="11"/>
  <c r="CG55" i="11"/>
  <c r="CF55" i="11"/>
  <c r="CE55" i="11"/>
  <c r="BX55" i="11"/>
  <c r="BW55" i="11"/>
  <c r="BV55" i="11"/>
  <c r="BU55" i="11"/>
  <c r="BT55" i="11"/>
  <c r="BS55" i="11"/>
  <c r="BK55" i="11"/>
  <c r="BJ55" i="11"/>
  <c r="BI55" i="11"/>
  <c r="BH55" i="11"/>
  <c r="BG55" i="11"/>
  <c r="BF55" i="11"/>
  <c r="AY55" i="11"/>
  <c r="AX55" i="11"/>
  <c r="AW55" i="11"/>
  <c r="AV55" i="11"/>
  <c r="AU55" i="11"/>
  <c r="AT55" i="11"/>
  <c r="AM55" i="11"/>
  <c r="AL55" i="11"/>
  <c r="AK55" i="11"/>
  <c r="AJ55" i="11"/>
  <c r="AI55" i="11"/>
  <c r="AH55" i="11"/>
  <c r="AA55" i="11"/>
  <c r="Z55" i="11"/>
  <c r="Y55" i="11"/>
  <c r="X55" i="11"/>
  <c r="W55" i="11"/>
  <c r="V55" i="11"/>
  <c r="O55" i="11"/>
  <c r="N55" i="11"/>
  <c r="M55" i="11"/>
  <c r="L55" i="11"/>
  <c r="K55" i="11"/>
  <c r="J55" i="11"/>
  <c r="C55" i="11"/>
  <c r="IK53" i="11"/>
  <c r="IJ53" i="11"/>
  <c r="II53" i="11"/>
  <c r="IH53" i="11"/>
  <c r="IG53" i="11"/>
  <c r="IF53" i="11"/>
  <c r="HY53" i="11"/>
  <c r="HX53" i="11"/>
  <c r="HW53" i="11"/>
  <c r="HV53" i="11"/>
  <c r="HU53" i="11"/>
  <c r="HT53" i="11"/>
  <c r="HM53" i="11"/>
  <c r="HL53" i="11"/>
  <c r="HK53" i="11"/>
  <c r="HJ53" i="11"/>
  <c r="HI53" i="11"/>
  <c r="HH53" i="11"/>
  <c r="HA53" i="11"/>
  <c r="GZ53" i="11"/>
  <c r="GY53" i="11"/>
  <c r="GX53" i="11"/>
  <c r="GW53" i="11"/>
  <c r="GV53" i="11"/>
  <c r="GO53" i="11"/>
  <c r="GN53" i="11"/>
  <c r="GM53" i="11"/>
  <c r="GL53" i="11"/>
  <c r="GK53" i="11"/>
  <c r="GJ53" i="11"/>
  <c r="GB53" i="11"/>
  <c r="GA53" i="11"/>
  <c r="FZ53" i="11"/>
  <c r="FY53" i="11"/>
  <c r="FX53" i="11"/>
  <c r="FW53" i="11"/>
  <c r="FP53" i="11"/>
  <c r="FO53" i="11"/>
  <c r="FN53" i="11"/>
  <c r="FM53" i="11"/>
  <c r="FL53" i="11"/>
  <c r="FK53" i="11"/>
  <c r="FD53" i="11"/>
  <c r="FC53" i="11"/>
  <c r="FB53" i="11"/>
  <c r="FA53" i="11"/>
  <c r="EZ53" i="11"/>
  <c r="EY53" i="11"/>
  <c r="ER53" i="11"/>
  <c r="EQ53" i="11"/>
  <c r="EP53" i="11"/>
  <c r="EO53" i="11"/>
  <c r="EN53" i="11"/>
  <c r="EM53" i="11"/>
  <c r="EF53" i="11"/>
  <c r="EE53" i="11"/>
  <c r="ED53" i="11"/>
  <c r="EC53" i="11"/>
  <c r="EB53" i="11"/>
  <c r="EA53" i="11"/>
  <c r="DT53" i="11"/>
  <c r="DS53" i="11"/>
  <c r="DR53" i="11"/>
  <c r="DQ53" i="11"/>
  <c r="DP53" i="11"/>
  <c r="DO53" i="11"/>
  <c r="DH53" i="11"/>
  <c r="DG53" i="11"/>
  <c r="DF53" i="11"/>
  <c r="DE53" i="11"/>
  <c r="DD53" i="11"/>
  <c r="DC53" i="11"/>
  <c r="CV53" i="11"/>
  <c r="CU53" i="11"/>
  <c r="CT53" i="11"/>
  <c r="CS53" i="11"/>
  <c r="CR53" i="11"/>
  <c r="CQ53" i="11"/>
  <c r="CJ53" i="11"/>
  <c r="CI53" i="11"/>
  <c r="CH53" i="11"/>
  <c r="CG53" i="11"/>
  <c r="CF53" i="11"/>
  <c r="CE53" i="11"/>
  <c r="BX53" i="11"/>
  <c r="BW53" i="11"/>
  <c r="BV53" i="11"/>
  <c r="BU53" i="11"/>
  <c r="BT53" i="11"/>
  <c r="BS53" i="11"/>
  <c r="BK53" i="11"/>
  <c r="BJ53" i="11"/>
  <c r="BI53" i="11"/>
  <c r="BH53" i="11"/>
  <c r="BG53" i="11"/>
  <c r="BF53" i="11"/>
  <c r="AY53" i="11"/>
  <c r="AX53" i="11"/>
  <c r="AW53" i="11"/>
  <c r="AV53" i="11"/>
  <c r="AU53" i="11"/>
  <c r="AT53" i="11"/>
  <c r="AM53" i="11"/>
  <c r="AL53" i="11"/>
  <c r="AK53" i="11"/>
  <c r="AJ53" i="11"/>
  <c r="AI53" i="11"/>
  <c r="AH53" i="11"/>
  <c r="AA53" i="11"/>
  <c r="Z53" i="11"/>
  <c r="Y53" i="11"/>
  <c r="X53" i="11"/>
  <c r="W53" i="11"/>
  <c r="V53" i="11"/>
  <c r="O53" i="11"/>
  <c r="N53" i="11"/>
  <c r="M53" i="11"/>
  <c r="L53" i="11"/>
  <c r="K53" i="11"/>
  <c r="J53" i="11"/>
  <c r="C53" i="11"/>
  <c r="IK51" i="11"/>
  <c r="IJ51" i="11"/>
  <c r="II51" i="11"/>
  <c r="IH51" i="11"/>
  <c r="IG51" i="11"/>
  <c r="IF51" i="11"/>
  <c r="HY51" i="11"/>
  <c r="HX51" i="11"/>
  <c r="HW51" i="11"/>
  <c r="HV51" i="11"/>
  <c r="HU51" i="11"/>
  <c r="HT51" i="11"/>
  <c r="HM51" i="11"/>
  <c r="HL51" i="11"/>
  <c r="HK51" i="11"/>
  <c r="HJ51" i="11"/>
  <c r="HI51" i="11"/>
  <c r="HH51" i="11"/>
  <c r="HA51" i="11"/>
  <c r="GZ51" i="11"/>
  <c r="GY51" i="11"/>
  <c r="GX51" i="11"/>
  <c r="GW51" i="11"/>
  <c r="GV51" i="11"/>
  <c r="GO51" i="11"/>
  <c r="GN51" i="11"/>
  <c r="GM51" i="11"/>
  <c r="GL51" i="11"/>
  <c r="GK51" i="11"/>
  <c r="GJ51" i="11"/>
  <c r="GB51" i="11"/>
  <c r="GA51" i="11"/>
  <c r="FZ51" i="11"/>
  <c r="FY51" i="11"/>
  <c r="FX51" i="11"/>
  <c r="FW51" i="11"/>
  <c r="FP51" i="11"/>
  <c r="FO51" i="11"/>
  <c r="FN51" i="11"/>
  <c r="FM51" i="11"/>
  <c r="FL51" i="11"/>
  <c r="FK51" i="11"/>
  <c r="FD51" i="11"/>
  <c r="FC51" i="11"/>
  <c r="FB51" i="11"/>
  <c r="FA51" i="11"/>
  <c r="EZ51" i="11"/>
  <c r="EY51" i="11"/>
  <c r="ER51" i="11"/>
  <c r="EQ51" i="11"/>
  <c r="EP51" i="11"/>
  <c r="EO51" i="11"/>
  <c r="EN51" i="11"/>
  <c r="EM51" i="11"/>
  <c r="EF51" i="11"/>
  <c r="EE51" i="11"/>
  <c r="ED51" i="11"/>
  <c r="EC51" i="11"/>
  <c r="EB51" i="11"/>
  <c r="EA51" i="11"/>
  <c r="DT51" i="11"/>
  <c r="DS51" i="11"/>
  <c r="DR51" i="11"/>
  <c r="DQ51" i="11"/>
  <c r="DP51" i="11"/>
  <c r="DO51" i="11"/>
  <c r="DH51" i="11"/>
  <c r="DG51" i="11"/>
  <c r="DF51" i="11"/>
  <c r="DE51" i="11"/>
  <c r="DD51" i="11"/>
  <c r="DC51" i="11"/>
  <c r="CV51" i="11"/>
  <c r="CU51" i="11"/>
  <c r="CT51" i="11"/>
  <c r="CS51" i="11"/>
  <c r="CR51" i="11"/>
  <c r="CQ51" i="11"/>
  <c r="CJ51" i="11"/>
  <c r="CI51" i="11"/>
  <c r="CH51" i="11"/>
  <c r="CG51" i="11"/>
  <c r="CF51" i="11"/>
  <c r="CE51" i="11"/>
  <c r="BX51" i="11"/>
  <c r="BW51" i="11"/>
  <c r="BV51" i="11"/>
  <c r="BU51" i="11"/>
  <c r="BT51" i="11"/>
  <c r="BS51" i="11"/>
  <c r="BK51" i="11"/>
  <c r="BJ51" i="11"/>
  <c r="BI51" i="11"/>
  <c r="BH51" i="11"/>
  <c r="BG51" i="11"/>
  <c r="BF51" i="11"/>
  <c r="AY51" i="11"/>
  <c r="AX51" i="11"/>
  <c r="AW51" i="11"/>
  <c r="AV51" i="11"/>
  <c r="AU51" i="11"/>
  <c r="AT51" i="11"/>
  <c r="AM51" i="11"/>
  <c r="AL51" i="11"/>
  <c r="AK51" i="11"/>
  <c r="AJ51" i="11"/>
  <c r="AI51" i="11"/>
  <c r="AH51" i="11"/>
  <c r="AA51" i="11"/>
  <c r="Z51" i="11"/>
  <c r="Y51" i="11"/>
  <c r="X51" i="11"/>
  <c r="W51" i="11"/>
  <c r="V51" i="11"/>
  <c r="O51" i="11"/>
  <c r="N51" i="11"/>
  <c r="M51" i="11"/>
  <c r="L51" i="11"/>
  <c r="K51" i="11"/>
  <c r="J51" i="11"/>
  <c r="C51" i="11"/>
  <c r="IK49" i="11"/>
  <c r="IJ49" i="11"/>
  <c r="II49" i="11"/>
  <c r="IH49" i="11"/>
  <c r="IG49" i="11"/>
  <c r="IF49" i="11"/>
  <c r="HY49" i="11"/>
  <c r="HX49" i="11"/>
  <c r="HW49" i="11"/>
  <c r="HV49" i="11"/>
  <c r="HU49" i="11"/>
  <c r="HT49" i="11"/>
  <c r="HM49" i="11"/>
  <c r="HL49" i="11"/>
  <c r="HK49" i="11"/>
  <c r="HJ49" i="11"/>
  <c r="HI49" i="11"/>
  <c r="HH49" i="11"/>
  <c r="HA49" i="11"/>
  <c r="GZ49" i="11"/>
  <c r="GY49" i="11"/>
  <c r="GX49" i="11"/>
  <c r="GW49" i="11"/>
  <c r="GV49" i="11"/>
  <c r="GO49" i="11"/>
  <c r="GN49" i="11"/>
  <c r="GM49" i="11"/>
  <c r="GL49" i="11"/>
  <c r="GK49" i="11"/>
  <c r="GJ49" i="11"/>
  <c r="GB49" i="11"/>
  <c r="GA49" i="11"/>
  <c r="FZ49" i="11"/>
  <c r="FY49" i="11"/>
  <c r="FX49" i="11"/>
  <c r="FW49" i="11"/>
  <c r="FP49" i="11"/>
  <c r="FO49" i="11"/>
  <c r="FN49" i="11"/>
  <c r="FM49" i="11"/>
  <c r="FL49" i="11"/>
  <c r="FK49" i="11"/>
  <c r="FD49" i="11"/>
  <c r="FC49" i="11"/>
  <c r="FB49" i="11"/>
  <c r="FA49" i="11"/>
  <c r="EZ49" i="11"/>
  <c r="EY49" i="11"/>
  <c r="ER49" i="11"/>
  <c r="EQ49" i="11"/>
  <c r="EP49" i="11"/>
  <c r="EO49" i="11"/>
  <c r="EN49" i="11"/>
  <c r="EM49" i="11"/>
  <c r="EF49" i="11"/>
  <c r="EE49" i="11"/>
  <c r="ED49" i="11"/>
  <c r="EC49" i="11"/>
  <c r="EB49" i="11"/>
  <c r="EA49" i="11"/>
  <c r="DT49" i="11"/>
  <c r="DS49" i="11"/>
  <c r="DR49" i="11"/>
  <c r="DQ49" i="11"/>
  <c r="DP49" i="11"/>
  <c r="DO49" i="11"/>
  <c r="DH49" i="11"/>
  <c r="DG49" i="11"/>
  <c r="DF49" i="11"/>
  <c r="DE49" i="11"/>
  <c r="DD49" i="11"/>
  <c r="DC49" i="11"/>
  <c r="CV49" i="11"/>
  <c r="CU49" i="11"/>
  <c r="CT49" i="11"/>
  <c r="CS49" i="11"/>
  <c r="CR49" i="11"/>
  <c r="CQ49" i="11"/>
  <c r="CJ49" i="11"/>
  <c r="CI49" i="11"/>
  <c r="CH49" i="11"/>
  <c r="CG49" i="11"/>
  <c r="CF49" i="11"/>
  <c r="CE49" i="11"/>
  <c r="BX49" i="11"/>
  <c r="BW49" i="11"/>
  <c r="BV49" i="11"/>
  <c r="BU49" i="11"/>
  <c r="BT49" i="11"/>
  <c r="BS49" i="11"/>
  <c r="BK49" i="11"/>
  <c r="BJ49" i="11"/>
  <c r="BI49" i="11"/>
  <c r="BH49" i="11"/>
  <c r="BG49" i="11"/>
  <c r="BF49" i="11"/>
  <c r="AY49" i="11"/>
  <c r="AX49" i="11"/>
  <c r="AW49" i="11"/>
  <c r="AV49" i="11"/>
  <c r="AU49" i="11"/>
  <c r="AT49" i="11"/>
  <c r="AM49" i="11"/>
  <c r="AL49" i="11"/>
  <c r="AK49" i="11"/>
  <c r="AJ49" i="11"/>
  <c r="AI49" i="11"/>
  <c r="AH49" i="11"/>
  <c r="AA49" i="11"/>
  <c r="Z49" i="11"/>
  <c r="Y49" i="11"/>
  <c r="X49" i="11"/>
  <c r="W49" i="11"/>
  <c r="V49" i="11"/>
  <c r="O49" i="11"/>
  <c r="N49" i="11"/>
  <c r="M49" i="11"/>
  <c r="L49" i="11"/>
  <c r="K49" i="11"/>
  <c r="J49" i="11"/>
  <c r="C49" i="11"/>
  <c r="IK47" i="11"/>
  <c r="IJ47" i="11"/>
  <c r="II47" i="11"/>
  <c r="IH47" i="11"/>
  <c r="IG47" i="11"/>
  <c r="IF47" i="11"/>
  <c r="HY47" i="11"/>
  <c r="HX47" i="11"/>
  <c r="HW47" i="11"/>
  <c r="HV47" i="11"/>
  <c r="HU47" i="11"/>
  <c r="HT47" i="11"/>
  <c r="HM47" i="11"/>
  <c r="HL47" i="11"/>
  <c r="HK47" i="11"/>
  <c r="HJ47" i="11"/>
  <c r="HI47" i="11"/>
  <c r="HH47" i="11"/>
  <c r="HA47" i="11"/>
  <c r="GZ47" i="11"/>
  <c r="GY47" i="11"/>
  <c r="GX47" i="11"/>
  <c r="GW47" i="11"/>
  <c r="GV47" i="11"/>
  <c r="GO47" i="11"/>
  <c r="GN47" i="11"/>
  <c r="GM47" i="11"/>
  <c r="GL47" i="11"/>
  <c r="GK47" i="11"/>
  <c r="GJ47" i="11"/>
  <c r="GB47" i="11"/>
  <c r="GA47" i="11"/>
  <c r="FZ47" i="11"/>
  <c r="FY47" i="11"/>
  <c r="FX47" i="11"/>
  <c r="FW47" i="11"/>
  <c r="FP47" i="11"/>
  <c r="FO47" i="11"/>
  <c r="FN47" i="11"/>
  <c r="FM47" i="11"/>
  <c r="FL47" i="11"/>
  <c r="FK47" i="11"/>
  <c r="FD47" i="11"/>
  <c r="FC47" i="11"/>
  <c r="FB47" i="11"/>
  <c r="FA47" i="11"/>
  <c r="EZ47" i="11"/>
  <c r="EY47" i="11"/>
  <c r="ER47" i="11"/>
  <c r="EQ47" i="11"/>
  <c r="EP47" i="11"/>
  <c r="EO47" i="11"/>
  <c r="EN47" i="11"/>
  <c r="EM47" i="11"/>
  <c r="EF47" i="11"/>
  <c r="EE47" i="11"/>
  <c r="ED47" i="11"/>
  <c r="EC47" i="11"/>
  <c r="EB47" i="11"/>
  <c r="EA47" i="11"/>
  <c r="DT47" i="11"/>
  <c r="DS47" i="11"/>
  <c r="DR47" i="11"/>
  <c r="DQ47" i="11"/>
  <c r="DP47" i="11"/>
  <c r="DO47" i="11"/>
  <c r="DH47" i="11"/>
  <c r="DG47" i="11"/>
  <c r="DF47" i="11"/>
  <c r="DE47" i="11"/>
  <c r="DD47" i="11"/>
  <c r="DC47" i="11"/>
  <c r="CV47" i="11"/>
  <c r="CU47" i="11"/>
  <c r="CT47" i="11"/>
  <c r="CS47" i="11"/>
  <c r="CR47" i="11"/>
  <c r="CQ47" i="11"/>
  <c r="CJ47" i="11"/>
  <c r="CI47" i="11"/>
  <c r="CH47" i="11"/>
  <c r="CG47" i="11"/>
  <c r="CF47" i="11"/>
  <c r="CE47" i="11"/>
  <c r="BX47" i="11"/>
  <c r="BW47" i="11"/>
  <c r="BV47" i="11"/>
  <c r="BU47" i="11"/>
  <c r="BT47" i="11"/>
  <c r="BS47" i="11"/>
  <c r="BK47" i="11"/>
  <c r="BJ47" i="11"/>
  <c r="BI47" i="11"/>
  <c r="BH47" i="11"/>
  <c r="BG47" i="11"/>
  <c r="BF47" i="11"/>
  <c r="AY47" i="11"/>
  <c r="AX47" i="11"/>
  <c r="AW47" i="11"/>
  <c r="AV47" i="11"/>
  <c r="AU47" i="11"/>
  <c r="AT47" i="11"/>
  <c r="AM47" i="11"/>
  <c r="AL47" i="11"/>
  <c r="AK47" i="11"/>
  <c r="AJ47" i="11"/>
  <c r="AI47" i="11"/>
  <c r="AH47" i="11"/>
  <c r="AA47" i="11"/>
  <c r="Z47" i="11"/>
  <c r="Y47" i="11"/>
  <c r="X47" i="11"/>
  <c r="W47" i="11"/>
  <c r="V47" i="11"/>
  <c r="O47" i="11"/>
  <c r="N47" i="11"/>
  <c r="M47" i="11"/>
  <c r="L47" i="11"/>
  <c r="K47" i="11"/>
  <c r="J47" i="11"/>
  <c r="C47" i="11"/>
  <c r="IK45" i="11"/>
  <c r="IJ45" i="11"/>
  <c r="II45" i="11"/>
  <c r="IH45" i="11"/>
  <c r="IG45" i="11"/>
  <c r="IF45" i="11"/>
  <c r="HY45" i="11"/>
  <c r="HX45" i="11"/>
  <c r="HW45" i="11"/>
  <c r="HV45" i="11"/>
  <c r="HU45" i="11"/>
  <c r="HT45" i="11"/>
  <c r="HM45" i="11"/>
  <c r="HL45" i="11"/>
  <c r="HK45" i="11"/>
  <c r="HJ45" i="11"/>
  <c r="HI45" i="11"/>
  <c r="HH45" i="11"/>
  <c r="HA45" i="11"/>
  <c r="GZ45" i="11"/>
  <c r="GY45" i="11"/>
  <c r="GX45" i="11"/>
  <c r="GW45" i="11"/>
  <c r="GV45" i="11"/>
  <c r="GO45" i="11"/>
  <c r="GN45" i="11"/>
  <c r="GM45" i="11"/>
  <c r="GL45" i="11"/>
  <c r="GK45" i="11"/>
  <c r="GJ45" i="11"/>
  <c r="GB45" i="11"/>
  <c r="GA45" i="11"/>
  <c r="FZ45" i="11"/>
  <c r="FY45" i="11"/>
  <c r="FX45" i="11"/>
  <c r="FW45" i="11"/>
  <c r="FP45" i="11"/>
  <c r="FO45" i="11"/>
  <c r="FN45" i="11"/>
  <c r="FM45" i="11"/>
  <c r="FL45" i="11"/>
  <c r="FK45" i="11"/>
  <c r="FD45" i="11"/>
  <c r="FC45" i="11"/>
  <c r="FB45" i="11"/>
  <c r="FA45" i="11"/>
  <c r="EZ45" i="11"/>
  <c r="EY45" i="11"/>
  <c r="ER45" i="11"/>
  <c r="EQ45" i="11"/>
  <c r="EP45" i="11"/>
  <c r="EO45" i="11"/>
  <c r="EN45" i="11"/>
  <c r="EM45" i="11"/>
  <c r="EF45" i="11"/>
  <c r="EE45" i="11"/>
  <c r="ED45" i="11"/>
  <c r="EC45" i="11"/>
  <c r="EB45" i="11"/>
  <c r="EA45" i="11"/>
  <c r="DT45" i="11"/>
  <c r="DS45" i="11"/>
  <c r="DR45" i="11"/>
  <c r="DQ45" i="11"/>
  <c r="DP45" i="11"/>
  <c r="DO45" i="11"/>
  <c r="DH45" i="11"/>
  <c r="DG45" i="11"/>
  <c r="DF45" i="11"/>
  <c r="DE45" i="11"/>
  <c r="DD45" i="11"/>
  <c r="DC45" i="11"/>
  <c r="CV45" i="11"/>
  <c r="CU45" i="11"/>
  <c r="CT45" i="11"/>
  <c r="CS45" i="11"/>
  <c r="CR45" i="11"/>
  <c r="CQ45" i="11"/>
  <c r="CJ45" i="11"/>
  <c r="CI45" i="11"/>
  <c r="CH45" i="11"/>
  <c r="CG45" i="11"/>
  <c r="CF45" i="11"/>
  <c r="CE45" i="11"/>
  <c r="BX45" i="11"/>
  <c r="BW45" i="11"/>
  <c r="BV45" i="11"/>
  <c r="BU45" i="11"/>
  <c r="BT45" i="11"/>
  <c r="BS45" i="11"/>
  <c r="BK45" i="11"/>
  <c r="BJ45" i="11"/>
  <c r="BI45" i="11"/>
  <c r="BH45" i="11"/>
  <c r="BG45" i="11"/>
  <c r="BF45" i="11"/>
  <c r="AY45" i="11"/>
  <c r="AX45" i="11"/>
  <c r="AW45" i="11"/>
  <c r="AV45" i="11"/>
  <c r="AU45" i="11"/>
  <c r="AT45" i="11"/>
  <c r="AM45" i="11"/>
  <c r="AL45" i="11"/>
  <c r="AK45" i="11"/>
  <c r="AJ45" i="11"/>
  <c r="AI45" i="11"/>
  <c r="AH45" i="11"/>
  <c r="AA45" i="11"/>
  <c r="Z45" i="11"/>
  <c r="Y45" i="11"/>
  <c r="X45" i="11"/>
  <c r="W45" i="11"/>
  <c r="V45" i="11"/>
  <c r="O45" i="11"/>
  <c r="N45" i="11"/>
  <c r="M45" i="11"/>
  <c r="L45" i="11"/>
  <c r="K45" i="11"/>
  <c r="J45" i="11"/>
  <c r="C45" i="11"/>
  <c r="IK43" i="11"/>
  <c r="IJ43" i="11"/>
  <c r="II43" i="11"/>
  <c r="IH43" i="11"/>
  <c r="IG43" i="11"/>
  <c r="IF43" i="11"/>
  <c r="HY43" i="11"/>
  <c r="HX43" i="11"/>
  <c r="HW43" i="11"/>
  <c r="HV43" i="11"/>
  <c r="HU43" i="11"/>
  <c r="HT43" i="11"/>
  <c r="HM43" i="11"/>
  <c r="HL43" i="11"/>
  <c r="HK43" i="11"/>
  <c r="HJ43" i="11"/>
  <c r="HI43" i="11"/>
  <c r="HH43" i="11"/>
  <c r="HA43" i="11"/>
  <c r="GZ43" i="11"/>
  <c r="GY43" i="11"/>
  <c r="GX43" i="11"/>
  <c r="GW43" i="11"/>
  <c r="GV43" i="11"/>
  <c r="GO43" i="11"/>
  <c r="GN43" i="11"/>
  <c r="GM43" i="11"/>
  <c r="GL43" i="11"/>
  <c r="GK43" i="11"/>
  <c r="GJ43" i="11"/>
  <c r="GB43" i="11"/>
  <c r="GA43" i="11"/>
  <c r="FZ43" i="11"/>
  <c r="FY43" i="11"/>
  <c r="FX43" i="11"/>
  <c r="FW43" i="11"/>
  <c r="FP43" i="11"/>
  <c r="FO43" i="11"/>
  <c r="FN43" i="11"/>
  <c r="FM43" i="11"/>
  <c r="FL43" i="11"/>
  <c r="FK43" i="11"/>
  <c r="FD43" i="11"/>
  <c r="FC43" i="11"/>
  <c r="FB43" i="11"/>
  <c r="FA43" i="11"/>
  <c r="EZ43" i="11"/>
  <c r="EY43" i="11"/>
  <c r="ER43" i="11"/>
  <c r="EQ43" i="11"/>
  <c r="EP43" i="11"/>
  <c r="EO43" i="11"/>
  <c r="EN43" i="11"/>
  <c r="EM43" i="11"/>
  <c r="EF43" i="11"/>
  <c r="EE43" i="11"/>
  <c r="ED43" i="11"/>
  <c r="EC43" i="11"/>
  <c r="EB43" i="11"/>
  <c r="EA43" i="11"/>
  <c r="DT43" i="11"/>
  <c r="DS43" i="11"/>
  <c r="DR43" i="11"/>
  <c r="DQ43" i="11"/>
  <c r="DP43" i="11"/>
  <c r="DO43" i="11"/>
  <c r="DH43" i="11"/>
  <c r="DG43" i="11"/>
  <c r="DF43" i="11"/>
  <c r="DE43" i="11"/>
  <c r="DD43" i="11"/>
  <c r="DC43" i="11"/>
  <c r="CV43" i="11"/>
  <c r="CU43" i="11"/>
  <c r="CT43" i="11"/>
  <c r="CS43" i="11"/>
  <c r="CR43" i="11"/>
  <c r="CQ43" i="11"/>
  <c r="CJ43" i="11"/>
  <c r="CI43" i="11"/>
  <c r="CH43" i="11"/>
  <c r="CG43" i="11"/>
  <c r="CF43" i="11"/>
  <c r="CE43" i="11"/>
  <c r="BX43" i="11"/>
  <c r="BW43" i="11"/>
  <c r="BV43" i="11"/>
  <c r="BU43" i="11"/>
  <c r="BT43" i="11"/>
  <c r="BS43" i="11"/>
  <c r="BK43" i="11"/>
  <c r="BJ43" i="11"/>
  <c r="BI43" i="11"/>
  <c r="BH43" i="11"/>
  <c r="BG43" i="11"/>
  <c r="BF43" i="11"/>
  <c r="AY43" i="11"/>
  <c r="AX43" i="11"/>
  <c r="AW43" i="11"/>
  <c r="AV43" i="11"/>
  <c r="AU43" i="11"/>
  <c r="AT43" i="11"/>
  <c r="AM43" i="11"/>
  <c r="AL43" i="11"/>
  <c r="AK43" i="11"/>
  <c r="AJ43" i="11"/>
  <c r="AI43" i="11"/>
  <c r="AH43" i="11"/>
  <c r="AA43" i="11"/>
  <c r="Z43" i="11"/>
  <c r="Y43" i="11"/>
  <c r="X43" i="11"/>
  <c r="W43" i="11"/>
  <c r="V43" i="11"/>
  <c r="O43" i="11"/>
  <c r="N43" i="11"/>
  <c r="M43" i="11"/>
  <c r="L43" i="11"/>
  <c r="K43" i="11"/>
  <c r="J43" i="11"/>
  <c r="C43" i="11"/>
  <c r="IK41" i="11"/>
  <c r="IJ41" i="11"/>
  <c r="II41" i="11"/>
  <c r="IH41" i="11"/>
  <c r="IG41" i="11"/>
  <c r="IF41" i="11"/>
  <c r="HY41" i="11"/>
  <c r="HX41" i="11"/>
  <c r="HW41" i="11"/>
  <c r="HV41" i="11"/>
  <c r="HU41" i="11"/>
  <c r="HT41" i="11"/>
  <c r="HM41" i="11"/>
  <c r="HL41" i="11"/>
  <c r="HK41" i="11"/>
  <c r="HJ41" i="11"/>
  <c r="HI41" i="11"/>
  <c r="HH41" i="11"/>
  <c r="HA41" i="11"/>
  <c r="GZ41" i="11"/>
  <c r="GY41" i="11"/>
  <c r="GX41" i="11"/>
  <c r="GW41" i="11"/>
  <c r="GV41" i="11"/>
  <c r="GO41" i="11"/>
  <c r="GN41" i="11"/>
  <c r="GM41" i="11"/>
  <c r="GL41" i="11"/>
  <c r="GK41" i="11"/>
  <c r="GJ41" i="11"/>
  <c r="GB41" i="11"/>
  <c r="GA41" i="11"/>
  <c r="FZ41" i="11"/>
  <c r="FY41" i="11"/>
  <c r="FX41" i="11"/>
  <c r="FW41" i="11"/>
  <c r="FP41" i="11"/>
  <c r="FO41" i="11"/>
  <c r="FN41" i="11"/>
  <c r="FM41" i="11"/>
  <c r="FL41" i="11"/>
  <c r="FK41" i="11"/>
  <c r="FD41" i="11"/>
  <c r="FC41" i="11"/>
  <c r="FB41" i="11"/>
  <c r="FA41" i="11"/>
  <c r="EZ41" i="11"/>
  <c r="EY41" i="11"/>
  <c r="ER41" i="11"/>
  <c r="EQ41" i="11"/>
  <c r="EP41" i="11"/>
  <c r="EO41" i="11"/>
  <c r="EN41" i="11"/>
  <c r="EM41" i="11"/>
  <c r="EF41" i="11"/>
  <c r="EE41" i="11"/>
  <c r="ED41" i="11"/>
  <c r="EC41" i="11"/>
  <c r="EB41" i="11"/>
  <c r="EA41" i="11"/>
  <c r="DT41" i="11"/>
  <c r="DS41" i="11"/>
  <c r="DR41" i="11"/>
  <c r="DQ41" i="11"/>
  <c r="DP41" i="11"/>
  <c r="DO41" i="11"/>
  <c r="DH41" i="11"/>
  <c r="DG41" i="11"/>
  <c r="DF41" i="11"/>
  <c r="DE41" i="11"/>
  <c r="DD41" i="11"/>
  <c r="DC41" i="11"/>
  <c r="CV41" i="11"/>
  <c r="CU41" i="11"/>
  <c r="CT41" i="11"/>
  <c r="CS41" i="11"/>
  <c r="CR41" i="11"/>
  <c r="CQ41" i="11"/>
  <c r="CJ41" i="11"/>
  <c r="CI41" i="11"/>
  <c r="CH41" i="11"/>
  <c r="CG41" i="11"/>
  <c r="CF41" i="11"/>
  <c r="CE41" i="11"/>
  <c r="BX41" i="11"/>
  <c r="BW41" i="11"/>
  <c r="BV41" i="11"/>
  <c r="BU41" i="11"/>
  <c r="BT41" i="11"/>
  <c r="BS41" i="11"/>
  <c r="BK41" i="11"/>
  <c r="BJ41" i="11"/>
  <c r="BI41" i="11"/>
  <c r="BH41" i="11"/>
  <c r="BG41" i="11"/>
  <c r="BF41" i="11"/>
  <c r="AY41" i="11"/>
  <c r="AX41" i="11"/>
  <c r="AW41" i="11"/>
  <c r="AV41" i="11"/>
  <c r="AU41" i="11"/>
  <c r="AT41" i="11"/>
  <c r="AM41" i="11"/>
  <c r="AL41" i="11"/>
  <c r="AK41" i="11"/>
  <c r="AJ41" i="11"/>
  <c r="AI41" i="11"/>
  <c r="AH41" i="11"/>
  <c r="AA41" i="11"/>
  <c r="Z41" i="11"/>
  <c r="Y41" i="11"/>
  <c r="X41" i="11"/>
  <c r="W41" i="11"/>
  <c r="V41" i="11"/>
  <c r="O41" i="11"/>
  <c r="N41" i="11"/>
  <c r="M41" i="11"/>
  <c r="L41" i="11"/>
  <c r="K41" i="11"/>
  <c r="J41" i="11"/>
  <c r="C41" i="11"/>
  <c r="IK39" i="11"/>
  <c r="IJ39" i="11"/>
  <c r="II39" i="11"/>
  <c r="IH39" i="11"/>
  <c r="IG39" i="11"/>
  <c r="IF39" i="11"/>
  <c r="HY39" i="11"/>
  <c r="HX39" i="11"/>
  <c r="HW39" i="11"/>
  <c r="HV39" i="11"/>
  <c r="HU39" i="11"/>
  <c r="HT39" i="11"/>
  <c r="HM39" i="11"/>
  <c r="HL39" i="11"/>
  <c r="HK39" i="11"/>
  <c r="HJ39" i="11"/>
  <c r="HI39" i="11"/>
  <c r="HH39" i="11"/>
  <c r="HA39" i="11"/>
  <c r="GZ39" i="11"/>
  <c r="GY39" i="11"/>
  <c r="GX39" i="11"/>
  <c r="GW39" i="11"/>
  <c r="GV39" i="11"/>
  <c r="GO39" i="11"/>
  <c r="GN39" i="11"/>
  <c r="GM39" i="11"/>
  <c r="GL39" i="11"/>
  <c r="GK39" i="11"/>
  <c r="GJ39" i="11"/>
  <c r="GB39" i="11"/>
  <c r="GA39" i="11"/>
  <c r="FZ39" i="11"/>
  <c r="FY39" i="11"/>
  <c r="FX39" i="11"/>
  <c r="FW39" i="11"/>
  <c r="FP39" i="11"/>
  <c r="FO39" i="11"/>
  <c r="FN39" i="11"/>
  <c r="FM39" i="11"/>
  <c r="FL39" i="11"/>
  <c r="FK39" i="11"/>
  <c r="FD39" i="11"/>
  <c r="FC39" i="11"/>
  <c r="FB39" i="11"/>
  <c r="FA39" i="11"/>
  <c r="EZ39" i="11"/>
  <c r="EY39" i="11"/>
  <c r="ER39" i="11"/>
  <c r="EQ39" i="11"/>
  <c r="EP39" i="11"/>
  <c r="EO39" i="11"/>
  <c r="EN39" i="11"/>
  <c r="EM39" i="11"/>
  <c r="EF39" i="11"/>
  <c r="EE39" i="11"/>
  <c r="ED39" i="11"/>
  <c r="EC39" i="11"/>
  <c r="EB39" i="11"/>
  <c r="EA39" i="11"/>
  <c r="DT39" i="11"/>
  <c r="DS39" i="11"/>
  <c r="DR39" i="11"/>
  <c r="DQ39" i="11"/>
  <c r="DP39" i="11"/>
  <c r="DO39" i="11"/>
  <c r="DH39" i="11"/>
  <c r="DG39" i="11"/>
  <c r="DF39" i="11"/>
  <c r="DE39" i="11"/>
  <c r="DD39" i="11"/>
  <c r="DC39" i="11"/>
  <c r="CV39" i="11"/>
  <c r="CU39" i="11"/>
  <c r="CT39" i="11"/>
  <c r="CS39" i="11"/>
  <c r="CR39" i="11"/>
  <c r="CQ39" i="11"/>
  <c r="CJ39" i="11"/>
  <c r="CI39" i="11"/>
  <c r="CH39" i="11"/>
  <c r="CG39" i="11"/>
  <c r="CF39" i="11"/>
  <c r="CE39" i="11"/>
  <c r="BX39" i="11"/>
  <c r="BW39" i="11"/>
  <c r="BV39" i="11"/>
  <c r="BU39" i="11"/>
  <c r="BT39" i="11"/>
  <c r="BS39" i="11"/>
  <c r="BK39" i="11"/>
  <c r="BJ39" i="11"/>
  <c r="BI39" i="11"/>
  <c r="BH39" i="11"/>
  <c r="BG39" i="11"/>
  <c r="BF39" i="11"/>
  <c r="AY39" i="11"/>
  <c r="AX39" i="11"/>
  <c r="AW39" i="11"/>
  <c r="AV39" i="11"/>
  <c r="AU39" i="11"/>
  <c r="AT39" i="11"/>
  <c r="AM39" i="11"/>
  <c r="AL39" i="11"/>
  <c r="AK39" i="11"/>
  <c r="AJ39" i="11"/>
  <c r="AI39" i="11"/>
  <c r="AH39" i="11"/>
  <c r="AA39" i="11"/>
  <c r="Z39" i="11"/>
  <c r="Y39" i="11"/>
  <c r="X39" i="11"/>
  <c r="W39" i="11"/>
  <c r="V39" i="11"/>
  <c r="O39" i="11"/>
  <c r="N39" i="11"/>
  <c r="M39" i="11"/>
  <c r="L39" i="11"/>
  <c r="K39" i="11"/>
  <c r="J39" i="11"/>
  <c r="C39" i="11"/>
  <c r="IK37" i="11"/>
  <c r="IJ37" i="11"/>
  <c r="II37" i="11"/>
  <c r="IH37" i="11"/>
  <c r="IG37" i="11"/>
  <c r="IF37" i="11"/>
  <c r="HY37" i="11"/>
  <c r="HX37" i="11"/>
  <c r="HW37" i="11"/>
  <c r="HV37" i="11"/>
  <c r="HU37" i="11"/>
  <c r="HT37" i="11"/>
  <c r="HM37" i="11"/>
  <c r="HL37" i="11"/>
  <c r="HK37" i="11"/>
  <c r="HJ37" i="11"/>
  <c r="HI37" i="11"/>
  <c r="HH37" i="11"/>
  <c r="HA37" i="11"/>
  <c r="GZ37" i="11"/>
  <c r="GY37" i="11"/>
  <c r="GX37" i="11"/>
  <c r="GW37" i="11"/>
  <c r="GV37" i="11"/>
  <c r="GO37" i="11"/>
  <c r="GN37" i="11"/>
  <c r="GM37" i="11"/>
  <c r="GL37" i="11"/>
  <c r="GK37" i="11"/>
  <c r="GJ37" i="11"/>
  <c r="GB37" i="11"/>
  <c r="GA37" i="11"/>
  <c r="FZ37" i="11"/>
  <c r="FY37" i="11"/>
  <c r="FX37" i="11"/>
  <c r="FW37" i="11"/>
  <c r="FP37" i="11"/>
  <c r="FO37" i="11"/>
  <c r="FN37" i="11"/>
  <c r="FM37" i="11"/>
  <c r="FL37" i="11"/>
  <c r="FK37" i="11"/>
  <c r="FD37" i="11"/>
  <c r="FC37" i="11"/>
  <c r="FB37" i="11"/>
  <c r="FA37" i="11"/>
  <c r="EZ37" i="11"/>
  <c r="EY37" i="11"/>
  <c r="ER37" i="11"/>
  <c r="EQ37" i="11"/>
  <c r="EP37" i="11"/>
  <c r="EO37" i="11"/>
  <c r="EN37" i="11"/>
  <c r="EM37" i="11"/>
  <c r="EF37" i="11"/>
  <c r="EE37" i="11"/>
  <c r="ED37" i="11"/>
  <c r="EC37" i="11"/>
  <c r="EB37" i="11"/>
  <c r="EA37" i="11"/>
  <c r="DT37" i="11"/>
  <c r="DS37" i="11"/>
  <c r="DR37" i="11"/>
  <c r="DQ37" i="11"/>
  <c r="DP37" i="11"/>
  <c r="DO37" i="11"/>
  <c r="DH37" i="11"/>
  <c r="DG37" i="11"/>
  <c r="DF37" i="11"/>
  <c r="DE37" i="11"/>
  <c r="DD37" i="11"/>
  <c r="DC37" i="11"/>
  <c r="CV37" i="11"/>
  <c r="CU37" i="11"/>
  <c r="CT37" i="11"/>
  <c r="CS37" i="11"/>
  <c r="CR37" i="11"/>
  <c r="CQ37" i="11"/>
  <c r="CJ37" i="11"/>
  <c r="CI37" i="11"/>
  <c r="CH37" i="11"/>
  <c r="CG37" i="11"/>
  <c r="CF37" i="11"/>
  <c r="CE37" i="11"/>
  <c r="BX37" i="11"/>
  <c r="BW37" i="11"/>
  <c r="BV37" i="11"/>
  <c r="BU37" i="11"/>
  <c r="BT37" i="11"/>
  <c r="BS37" i="11"/>
  <c r="BK37" i="11"/>
  <c r="BJ37" i="11"/>
  <c r="BI37" i="11"/>
  <c r="BH37" i="11"/>
  <c r="BG37" i="11"/>
  <c r="BF37" i="11"/>
  <c r="AY37" i="11"/>
  <c r="AX37" i="11"/>
  <c r="AW37" i="11"/>
  <c r="AV37" i="11"/>
  <c r="AU37" i="11"/>
  <c r="AT37" i="11"/>
  <c r="AM37" i="11"/>
  <c r="AL37" i="11"/>
  <c r="AK37" i="11"/>
  <c r="AJ37" i="11"/>
  <c r="AI37" i="11"/>
  <c r="AH37" i="11"/>
  <c r="AA37" i="11"/>
  <c r="Z37" i="11"/>
  <c r="Y37" i="11"/>
  <c r="X37" i="11"/>
  <c r="W37" i="11"/>
  <c r="V37" i="11"/>
  <c r="O37" i="11"/>
  <c r="N37" i="11"/>
  <c r="M37" i="11"/>
  <c r="L37" i="11"/>
  <c r="K37" i="11"/>
  <c r="J37" i="11"/>
  <c r="C37" i="11"/>
  <c r="IK35" i="11"/>
  <c r="IJ35" i="11"/>
  <c r="II35" i="11"/>
  <c r="IH35" i="11"/>
  <c r="IG35" i="11"/>
  <c r="IF35" i="11"/>
  <c r="HY35" i="11"/>
  <c r="HX35" i="11"/>
  <c r="HW35" i="11"/>
  <c r="HV35" i="11"/>
  <c r="HU35" i="11"/>
  <c r="HT35" i="11"/>
  <c r="HM35" i="11"/>
  <c r="HL35" i="11"/>
  <c r="HK35" i="11"/>
  <c r="HJ35" i="11"/>
  <c r="HI35" i="11"/>
  <c r="HH35" i="11"/>
  <c r="HA35" i="11"/>
  <c r="GZ35" i="11"/>
  <c r="GY35" i="11"/>
  <c r="GX35" i="11"/>
  <c r="GW35" i="11"/>
  <c r="GV35" i="11"/>
  <c r="GO35" i="11"/>
  <c r="GN35" i="11"/>
  <c r="GM35" i="11"/>
  <c r="GL35" i="11"/>
  <c r="GK35" i="11"/>
  <c r="GJ35" i="11"/>
  <c r="GB35" i="11"/>
  <c r="GA35" i="11"/>
  <c r="FZ35" i="11"/>
  <c r="FY35" i="11"/>
  <c r="FX35" i="11"/>
  <c r="FW35" i="11"/>
  <c r="FP35" i="11"/>
  <c r="FO35" i="11"/>
  <c r="FN35" i="11"/>
  <c r="FM35" i="11"/>
  <c r="FL35" i="11"/>
  <c r="FK35" i="11"/>
  <c r="FD35" i="11"/>
  <c r="FC35" i="11"/>
  <c r="FB35" i="11"/>
  <c r="FA35" i="11"/>
  <c r="EZ35" i="11"/>
  <c r="EY35" i="11"/>
  <c r="ER35" i="11"/>
  <c r="EQ35" i="11"/>
  <c r="EP35" i="11"/>
  <c r="EO35" i="11"/>
  <c r="EN35" i="11"/>
  <c r="EM35" i="11"/>
  <c r="EF35" i="11"/>
  <c r="EE35" i="11"/>
  <c r="ED35" i="11"/>
  <c r="EC35" i="11"/>
  <c r="EB35" i="11"/>
  <c r="EA35" i="11"/>
  <c r="DT35" i="11"/>
  <c r="DS35" i="11"/>
  <c r="DR35" i="11"/>
  <c r="DQ35" i="11"/>
  <c r="DP35" i="11"/>
  <c r="DO35" i="11"/>
  <c r="DH35" i="11"/>
  <c r="DG35" i="11"/>
  <c r="DF35" i="11"/>
  <c r="DE35" i="11"/>
  <c r="DD35" i="11"/>
  <c r="DC35" i="11"/>
  <c r="CV35" i="11"/>
  <c r="CU35" i="11"/>
  <c r="CT35" i="11"/>
  <c r="CS35" i="11"/>
  <c r="CR35" i="11"/>
  <c r="CQ35" i="11"/>
  <c r="CJ35" i="11"/>
  <c r="CI35" i="11"/>
  <c r="CH35" i="11"/>
  <c r="CG35" i="11"/>
  <c r="CF35" i="11"/>
  <c r="CE35" i="11"/>
  <c r="BX35" i="11"/>
  <c r="BW35" i="11"/>
  <c r="BV35" i="11"/>
  <c r="BU35" i="11"/>
  <c r="BT35" i="11"/>
  <c r="BS35" i="11"/>
  <c r="BK35" i="11"/>
  <c r="BJ35" i="11"/>
  <c r="BI35" i="11"/>
  <c r="BH35" i="11"/>
  <c r="BG35" i="11"/>
  <c r="BF35" i="11"/>
  <c r="AY35" i="11"/>
  <c r="AX35" i="11"/>
  <c r="AW35" i="11"/>
  <c r="AV35" i="11"/>
  <c r="AU35" i="11"/>
  <c r="AT35" i="11"/>
  <c r="AM35" i="11"/>
  <c r="AL35" i="11"/>
  <c r="AK35" i="11"/>
  <c r="AJ35" i="11"/>
  <c r="AI35" i="11"/>
  <c r="AH35" i="11"/>
  <c r="AA35" i="11"/>
  <c r="Z35" i="11"/>
  <c r="Y35" i="11"/>
  <c r="X35" i="11"/>
  <c r="W35" i="11"/>
  <c r="V35" i="11"/>
  <c r="O35" i="11"/>
  <c r="N35" i="11"/>
  <c r="M35" i="11"/>
  <c r="L35" i="11"/>
  <c r="K35" i="11"/>
  <c r="J35" i="11"/>
  <c r="C35" i="11"/>
  <c r="IK33" i="11"/>
  <c r="IJ33" i="11"/>
  <c r="II33" i="11"/>
  <c r="IH33" i="11"/>
  <c r="IG33" i="11"/>
  <c r="IF33" i="11"/>
  <c r="HY33" i="11"/>
  <c r="HX33" i="11"/>
  <c r="HW33" i="11"/>
  <c r="HV33" i="11"/>
  <c r="HU33" i="11"/>
  <c r="HT33" i="11"/>
  <c r="HM33" i="11"/>
  <c r="HL33" i="11"/>
  <c r="HK33" i="11"/>
  <c r="HJ33" i="11"/>
  <c r="HI33" i="11"/>
  <c r="HH33" i="11"/>
  <c r="HA33" i="11"/>
  <c r="GZ33" i="11"/>
  <c r="GY33" i="11"/>
  <c r="GX33" i="11"/>
  <c r="GW33" i="11"/>
  <c r="GV33" i="11"/>
  <c r="GO33" i="11"/>
  <c r="GN33" i="11"/>
  <c r="GM33" i="11"/>
  <c r="GL33" i="11"/>
  <c r="GK33" i="11"/>
  <c r="GJ33" i="11"/>
  <c r="GB33" i="11"/>
  <c r="GA33" i="11"/>
  <c r="FZ33" i="11"/>
  <c r="FY33" i="11"/>
  <c r="FX33" i="11"/>
  <c r="FW33" i="11"/>
  <c r="FP33" i="11"/>
  <c r="FO33" i="11"/>
  <c r="FN33" i="11"/>
  <c r="FM33" i="11"/>
  <c r="FL33" i="11"/>
  <c r="FK33" i="11"/>
  <c r="FD33" i="11"/>
  <c r="FC33" i="11"/>
  <c r="FB33" i="11"/>
  <c r="FA33" i="11"/>
  <c r="EZ33" i="11"/>
  <c r="EY33" i="11"/>
  <c r="ER33" i="11"/>
  <c r="EQ33" i="11"/>
  <c r="EP33" i="11"/>
  <c r="EO33" i="11"/>
  <c r="EN33" i="11"/>
  <c r="EM33" i="11"/>
  <c r="EF33" i="11"/>
  <c r="EE33" i="11"/>
  <c r="ED33" i="11"/>
  <c r="EC33" i="11"/>
  <c r="EB33" i="11"/>
  <c r="EA33" i="11"/>
  <c r="DT33" i="11"/>
  <c r="DS33" i="11"/>
  <c r="DR33" i="11"/>
  <c r="DQ33" i="11"/>
  <c r="DP33" i="11"/>
  <c r="DO33" i="11"/>
  <c r="DH33" i="11"/>
  <c r="DG33" i="11"/>
  <c r="DF33" i="11"/>
  <c r="DE33" i="11"/>
  <c r="DD33" i="11"/>
  <c r="DC33" i="11"/>
  <c r="CV33" i="11"/>
  <c r="CU33" i="11"/>
  <c r="CT33" i="11"/>
  <c r="CS33" i="11"/>
  <c r="CR33" i="11"/>
  <c r="CQ33" i="11"/>
  <c r="CJ33" i="11"/>
  <c r="CI33" i="11"/>
  <c r="CH33" i="11"/>
  <c r="CG33" i="11"/>
  <c r="CF33" i="11"/>
  <c r="CE33" i="11"/>
  <c r="BX33" i="11"/>
  <c r="BW33" i="11"/>
  <c r="BV33" i="11"/>
  <c r="BU33" i="11"/>
  <c r="BT33" i="11"/>
  <c r="BS33" i="11"/>
  <c r="BK33" i="11"/>
  <c r="BJ33" i="11"/>
  <c r="BI33" i="11"/>
  <c r="BH33" i="11"/>
  <c r="BG33" i="11"/>
  <c r="BF33" i="11"/>
  <c r="AY33" i="11"/>
  <c r="AX33" i="11"/>
  <c r="AW33" i="11"/>
  <c r="AV33" i="11"/>
  <c r="AU33" i="11"/>
  <c r="AT33" i="11"/>
  <c r="AM33" i="11"/>
  <c r="AL33" i="11"/>
  <c r="AK33" i="11"/>
  <c r="AJ33" i="11"/>
  <c r="AI33" i="11"/>
  <c r="AH33" i="11"/>
  <c r="AA33" i="11"/>
  <c r="Z33" i="11"/>
  <c r="Y33" i="11"/>
  <c r="X33" i="11"/>
  <c r="W33" i="11"/>
  <c r="V33" i="11"/>
  <c r="O33" i="11"/>
  <c r="N33" i="11"/>
  <c r="M33" i="11"/>
  <c r="L33" i="11"/>
  <c r="K33" i="11"/>
  <c r="J33" i="11"/>
  <c r="C33" i="11"/>
  <c r="IK31" i="11"/>
  <c r="IJ31" i="11"/>
  <c r="II31" i="11"/>
  <c r="IH31" i="11"/>
  <c r="IG31" i="11"/>
  <c r="IF31" i="11"/>
  <c r="HY31" i="11"/>
  <c r="HX31" i="11"/>
  <c r="HW31" i="11"/>
  <c r="HV31" i="11"/>
  <c r="HU31" i="11"/>
  <c r="HT31" i="11"/>
  <c r="HM31" i="11"/>
  <c r="HL31" i="11"/>
  <c r="HK31" i="11"/>
  <c r="HJ31" i="11"/>
  <c r="HI31" i="11"/>
  <c r="HH31" i="11"/>
  <c r="HA31" i="11"/>
  <c r="GZ31" i="11"/>
  <c r="GY31" i="11"/>
  <c r="GX31" i="11"/>
  <c r="GW31" i="11"/>
  <c r="GV31" i="11"/>
  <c r="GO31" i="11"/>
  <c r="GN31" i="11"/>
  <c r="GM31" i="11"/>
  <c r="GL31" i="11"/>
  <c r="GK31" i="11"/>
  <c r="GJ31" i="11"/>
  <c r="GB31" i="11"/>
  <c r="GA31" i="11"/>
  <c r="FZ31" i="11"/>
  <c r="FY31" i="11"/>
  <c r="FX31" i="11"/>
  <c r="FW31" i="11"/>
  <c r="FP31" i="11"/>
  <c r="FO31" i="11"/>
  <c r="FN31" i="11"/>
  <c r="FM31" i="11"/>
  <c r="FL31" i="11"/>
  <c r="FK31" i="11"/>
  <c r="FD31" i="11"/>
  <c r="FC31" i="11"/>
  <c r="FB31" i="11"/>
  <c r="FA31" i="11"/>
  <c r="EZ31" i="11"/>
  <c r="EY31" i="11"/>
  <c r="ER31" i="11"/>
  <c r="EQ31" i="11"/>
  <c r="EP31" i="11"/>
  <c r="EO31" i="11"/>
  <c r="EN31" i="11"/>
  <c r="EM31" i="11"/>
  <c r="EF31" i="11"/>
  <c r="EE31" i="11"/>
  <c r="ED31" i="11"/>
  <c r="EC31" i="11"/>
  <c r="EB31" i="11"/>
  <c r="EA31" i="11"/>
  <c r="DT31" i="11"/>
  <c r="DS31" i="11"/>
  <c r="DR31" i="11"/>
  <c r="DQ31" i="11"/>
  <c r="DP31" i="11"/>
  <c r="DO31" i="11"/>
  <c r="DH31" i="11"/>
  <c r="DG31" i="11"/>
  <c r="DF31" i="11"/>
  <c r="DE31" i="11"/>
  <c r="DD31" i="11"/>
  <c r="DC31" i="11"/>
  <c r="CV31" i="11"/>
  <c r="CU31" i="11"/>
  <c r="CT31" i="11"/>
  <c r="CS31" i="11"/>
  <c r="CR31" i="11"/>
  <c r="CQ31" i="11"/>
  <c r="CJ31" i="11"/>
  <c r="CI31" i="11"/>
  <c r="CH31" i="11"/>
  <c r="CG31" i="11"/>
  <c r="CF31" i="11"/>
  <c r="CE31" i="11"/>
  <c r="BX31" i="11"/>
  <c r="BW31" i="11"/>
  <c r="BV31" i="11"/>
  <c r="BU31" i="11"/>
  <c r="BT31" i="11"/>
  <c r="BS31" i="11"/>
  <c r="BK31" i="11"/>
  <c r="BJ31" i="11"/>
  <c r="BI31" i="11"/>
  <c r="BH31" i="11"/>
  <c r="BG31" i="11"/>
  <c r="BF31" i="11"/>
  <c r="AY31" i="11"/>
  <c r="AX31" i="11"/>
  <c r="AW31" i="11"/>
  <c r="AV31" i="11"/>
  <c r="AU31" i="11"/>
  <c r="AT31" i="11"/>
  <c r="AM31" i="11"/>
  <c r="AL31" i="11"/>
  <c r="AK31" i="11"/>
  <c r="AJ31" i="11"/>
  <c r="AI31" i="11"/>
  <c r="AH31" i="11"/>
  <c r="AA31" i="11"/>
  <c r="Z31" i="11"/>
  <c r="Y31" i="11"/>
  <c r="X31" i="11"/>
  <c r="W31" i="11"/>
  <c r="V31" i="11"/>
  <c r="O31" i="11"/>
  <c r="N31" i="11"/>
  <c r="M31" i="11"/>
  <c r="L31" i="11"/>
  <c r="K31" i="11"/>
  <c r="J31" i="11"/>
  <c r="C31" i="11"/>
  <c r="IK29" i="11"/>
  <c r="IJ29" i="11"/>
  <c r="II29" i="11"/>
  <c r="IH29" i="11"/>
  <c r="IG29" i="11"/>
  <c r="IF29" i="11"/>
  <c r="HY29" i="11"/>
  <c r="HX29" i="11"/>
  <c r="HW29" i="11"/>
  <c r="HV29" i="11"/>
  <c r="HU29" i="11"/>
  <c r="HT29" i="11"/>
  <c r="HM29" i="11"/>
  <c r="HL29" i="11"/>
  <c r="HK29" i="11"/>
  <c r="HJ29" i="11"/>
  <c r="HI29" i="11"/>
  <c r="HH29" i="11"/>
  <c r="HA29" i="11"/>
  <c r="GZ29" i="11"/>
  <c r="GY29" i="11"/>
  <c r="GX29" i="11"/>
  <c r="GW29" i="11"/>
  <c r="GV29" i="11"/>
  <c r="GO29" i="11"/>
  <c r="GN29" i="11"/>
  <c r="GM29" i="11"/>
  <c r="GL29" i="11"/>
  <c r="GK29" i="11"/>
  <c r="GJ29" i="11"/>
  <c r="GB29" i="11"/>
  <c r="GA29" i="11"/>
  <c r="FZ29" i="11"/>
  <c r="FY29" i="11"/>
  <c r="FX29" i="11"/>
  <c r="FW29" i="11"/>
  <c r="FP29" i="11"/>
  <c r="FO29" i="11"/>
  <c r="FN29" i="11"/>
  <c r="FM29" i="11"/>
  <c r="FL29" i="11"/>
  <c r="FK29" i="11"/>
  <c r="FD29" i="11"/>
  <c r="FC29" i="11"/>
  <c r="FB29" i="11"/>
  <c r="FA29" i="11"/>
  <c r="EZ29" i="11"/>
  <c r="EY29" i="11"/>
  <c r="ER29" i="11"/>
  <c r="EQ29" i="11"/>
  <c r="EP29" i="11"/>
  <c r="EO29" i="11"/>
  <c r="EN29" i="11"/>
  <c r="EM29" i="11"/>
  <c r="EF29" i="11"/>
  <c r="EE29" i="11"/>
  <c r="ED29" i="11"/>
  <c r="EC29" i="11"/>
  <c r="EB29" i="11"/>
  <c r="EA29" i="11"/>
  <c r="DT29" i="11"/>
  <c r="DS29" i="11"/>
  <c r="DR29" i="11"/>
  <c r="DQ29" i="11"/>
  <c r="DP29" i="11"/>
  <c r="DO29" i="11"/>
  <c r="DH29" i="11"/>
  <c r="DG29" i="11"/>
  <c r="DF29" i="11"/>
  <c r="DE29" i="11"/>
  <c r="DD29" i="11"/>
  <c r="DC29" i="11"/>
  <c r="CV29" i="11"/>
  <c r="CU29" i="11"/>
  <c r="CT29" i="11"/>
  <c r="CS29" i="11"/>
  <c r="CR29" i="11"/>
  <c r="CQ29" i="11"/>
  <c r="CJ29" i="11"/>
  <c r="CI29" i="11"/>
  <c r="CH29" i="11"/>
  <c r="CG29" i="11"/>
  <c r="CF29" i="11"/>
  <c r="CE29" i="11"/>
  <c r="BX29" i="11"/>
  <c r="BW29" i="11"/>
  <c r="BV29" i="11"/>
  <c r="BU29" i="11"/>
  <c r="BT29" i="11"/>
  <c r="BS29" i="11"/>
  <c r="BK29" i="11"/>
  <c r="BJ29" i="11"/>
  <c r="BI29" i="11"/>
  <c r="BH29" i="11"/>
  <c r="BG29" i="11"/>
  <c r="BF29" i="11"/>
  <c r="AY29" i="11"/>
  <c r="AX29" i="11"/>
  <c r="AW29" i="11"/>
  <c r="AV29" i="11"/>
  <c r="AU29" i="11"/>
  <c r="AT29" i="11"/>
  <c r="AM29" i="11"/>
  <c r="AL29" i="11"/>
  <c r="AK29" i="11"/>
  <c r="AJ29" i="11"/>
  <c r="AI29" i="11"/>
  <c r="AH29" i="11"/>
  <c r="AA29" i="11"/>
  <c r="Z29" i="11"/>
  <c r="Y29" i="11"/>
  <c r="X29" i="11"/>
  <c r="W29" i="11"/>
  <c r="V29" i="11"/>
  <c r="O29" i="11"/>
  <c r="N29" i="11"/>
  <c r="M29" i="11"/>
  <c r="L29" i="11"/>
  <c r="K29" i="11"/>
  <c r="J29" i="11"/>
  <c r="C29" i="11"/>
  <c r="IK27" i="11"/>
  <c r="IJ27" i="11"/>
  <c r="II27" i="11"/>
  <c r="IH27" i="11"/>
  <c r="IG27" i="11"/>
  <c r="IF27" i="11"/>
  <c r="HY27" i="11"/>
  <c r="HX27" i="11"/>
  <c r="HW27" i="11"/>
  <c r="HV27" i="11"/>
  <c r="HU27" i="11"/>
  <c r="HT27" i="11"/>
  <c r="HM27" i="11"/>
  <c r="HL27" i="11"/>
  <c r="HK27" i="11"/>
  <c r="HJ27" i="11"/>
  <c r="HI27" i="11"/>
  <c r="HH27" i="11"/>
  <c r="HA27" i="11"/>
  <c r="GZ27" i="11"/>
  <c r="GY27" i="11"/>
  <c r="GX27" i="11"/>
  <c r="GW27" i="11"/>
  <c r="GV27" i="11"/>
  <c r="GO27" i="11"/>
  <c r="GN27" i="11"/>
  <c r="GM27" i="11"/>
  <c r="GL27" i="11"/>
  <c r="GK27" i="11"/>
  <c r="GJ27" i="11"/>
  <c r="GB27" i="11"/>
  <c r="GA27" i="11"/>
  <c r="FZ27" i="11"/>
  <c r="FY27" i="11"/>
  <c r="FX27" i="11"/>
  <c r="FW27" i="11"/>
  <c r="FP27" i="11"/>
  <c r="FO27" i="11"/>
  <c r="FN27" i="11"/>
  <c r="FM27" i="11"/>
  <c r="FL27" i="11"/>
  <c r="FK27" i="11"/>
  <c r="FD27" i="11"/>
  <c r="FC27" i="11"/>
  <c r="FB27" i="11"/>
  <c r="FA27" i="11"/>
  <c r="EZ27" i="11"/>
  <c r="EY27" i="11"/>
  <c r="ER27" i="11"/>
  <c r="EQ27" i="11"/>
  <c r="EP27" i="11"/>
  <c r="EO27" i="11"/>
  <c r="EN27" i="11"/>
  <c r="EM27" i="11"/>
  <c r="EF27" i="11"/>
  <c r="EE27" i="11"/>
  <c r="ED27" i="11"/>
  <c r="EC27" i="11"/>
  <c r="EB27" i="11"/>
  <c r="EA27" i="11"/>
  <c r="DT27" i="11"/>
  <c r="DS27" i="11"/>
  <c r="DR27" i="11"/>
  <c r="DQ27" i="11"/>
  <c r="DP27" i="11"/>
  <c r="DO27" i="11"/>
  <c r="DH27" i="11"/>
  <c r="DG27" i="11"/>
  <c r="DF27" i="11"/>
  <c r="DE27" i="11"/>
  <c r="DD27" i="11"/>
  <c r="DC27" i="11"/>
  <c r="CV27" i="11"/>
  <c r="CU27" i="11"/>
  <c r="CT27" i="11"/>
  <c r="CS27" i="11"/>
  <c r="CR27" i="11"/>
  <c r="CQ27" i="11"/>
  <c r="CJ27" i="11"/>
  <c r="CI27" i="11"/>
  <c r="CH27" i="11"/>
  <c r="CG27" i="11"/>
  <c r="CF27" i="11"/>
  <c r="CE27" i="11"/>
  <c r="BX27" i="11"/>
  <c r="BW27" i="11"/>
  <c r="BV27" i="11"/>
  <c r="BU27" i="11"/>
  <c r="BT27" i="11"/>
  <c r="BS27" i="11"/>
  <c r="BK27" i="11"/>
  <c r="BJ27" i="11"/>
  <c r="BI27" i="11"/>
  <c r="BH27" i="11"/>
  <c r="BG27" i="11"/>
  <c r="BF27" i="11"/>
  <c r="AY27" i="11"/>
  <c r="AX27" i="11"/>
  <c r="AW27" i="11"/>
  <c r="AV27" i="11"/>
  <c r="AU27" i="11"/>
  <c r="AT27" i="11"/>
  <c r="AM27" i="11"/>
  <c r="AL27" i="11"/>
  <c r="AK27" i="11"/>
  <c r="AJ27" i="11"/>
  <c r="AI27" i="11"/>
  <c r="AH27" i="11"/>
  <c r="AA27" i="11"/>
  <c r="Z27" i="11"/>
  <c r="Y27" i="11"/>
  <c r="X27" i="11"/>
  <c r="W27" i="11"/>
  <c r="V27" i="11"/>
  <c r="O27" i="11"/>
  <c r="N27" i="11"/>
  <c r="M27" i="11"/>
  <c r="L27" i="11"/>
  <c r="K27" i="11"/>
  <c r="J27" i="11"/>
  <c r="C27" i="11"/>
  <c r="IK25" i="11"/>
  <c r="IJ25" i="11"/>
  <c r="II25" i="11"/>
  <c r="IH25" i="11"/>
  <c r="IG25" i="11"/>
  <c r="IF25" i="11"/>
  <c r="HY25" i="11"/>
  <c r="HX25" i="11"/>
  <c r="HW25" i="11"/>
  <c r="HV25" i="11"/>
  <c r="HU25" i="11"/>
  <c r="HT25" i="11"/>
  <c r="HM25" i="11"/>
  <c r="HL25" i="11"/>
  <c r="HK25" i="11"/>
  <c r="HJ25" i="11"/>
  <c r="HI25" i="11"/>
  <c r="HH25" i="11"/>
  <c r="HA25" i="11"/>
  <c r="GZ25" i="11"/>
  <c r="GY25" i="11"/>
  <c r="GX25" i="11"/>
  <c r="GW25" i="11"/>
  <c r="GV25" i="11"/>
  <c r="GO25" i="11"/>
  <c r="GN25" i="11"/>
  <c r="GM25" i="11"/>
  <c r="GL25" i="11"/>
  <c r="GK25" i="11"/>
  <c r="GJ25" i="11"/>
  <c r="GB25" i="11"/>
  <c r="GA25" i="11"/>
  <c r="FZ25" i="11"/>
  <c r="FY25" i="11"/>
  <c r="FX25" i="11"/>
  <c r="FW25" i="11"/>
  <c r="FP25" i="11"/>
  <c r="FO25" i="11"/>
  <c r="FN25" i="11"/>
  <c r="FM25" i="11"/>
  <c r="FL25" i="11"/>
  <c r="FK25" i="11"/>
  <c r="FD25" i="11"/>
  <c r="FC25" i="11"/>
  <c r="FB25" i="11"/>
  <c r="FA25" i="11"/>
  <c r="EZ25" i="11"/>
  <c r="EY25" i="11"/>
  <c r="ER25" i="11"/>
  <c r="EQ25" i="11"/>
  <c r="EP25" i="11"/>
  <c r="EO25" i="11"/>
  <c r="EN25" i="11"/>
  <c r="EM25" i="11"/>
  <c r="EF25" i="11"/>
  <c r="EE25" i="11"/>
  <c r="ED25" i="11"/>
  <c r="EC25" i="11"/>
  <c r="EB25" i="11"/>
  <c r="EA25" i="11"/>
  <c r="DT25" i="11"/>
  <c r="DS25" i="11"/>
  <c r="DR25" i="11"/>
  <c r="DQ25" i="11"/>
  <c r="DP25" i="11"/>
  <c r="DO25" i="11"/>
  <c r="DH25" i="11"/>
  <c r="DG25" i="11"/>
  <c r="DF25" i="11"/>
  <c r="DE25" i="11"/>
  <c r="DD25" i="11"/>
  <c r="DC25" i="11"/>
  <c r="CV25" i="11"/>
  <c r="CU25" i="11"/>
  <c r="CT25" i="11"/>
  <c r="CS25" i="11"/>
  <c r="CR25" i="11"/>
  <c r="CQ25" i="11"/>
  <c r="CJ25" i="11"/>
  <c r="CI25" i="11"/>
  <c r="CH25" i="11"/>
  <c r="CG25" i="11"/>
  <c r="CF25" i="11"/>
  <c r="CE25" i="11"/>
  <c r="BX25" i="11"/>
  <c r="BW25" i="11"/>
  <c r="BV25" i="11"/>
  <c r="BU25" i="11"/>
  <c r="BT25" i="11"/>
  <c r="BS25" i="11"/>
  <c r="BK25" i="11"/>
  <c r="BJ25" i="11"/>
  <c r="BI25" i="11"/>
  <c r="BH25" i="11"/>
  <c r="BG25" i="11"/>
  <c r="BF25" i="11"/>
  <c r="AY25" i="11"/>
  <c r="AX25" i="11"/>
  <c r="AW25" i="11"/>
  <c r="AV25" i="11"/>
  <c r="AU25" i="11"/>
  <c r="AT25" i="11"/>
  <c r="AM25" i="11"/>
  <c r="AL25" i="11"/>
  <c r="AK25" i="11"/>
  <c r="AJ25" i="11"/>
  <c r="AI25" i="11"/>
  <c r="AH25" i="11"/>
  <c r="AA25" i="11"/>
  <c r="Z25" i="11"/>
  <c r="Y25" i="11"/>
  <c r="X25" i="11"/>
  <c r="W25" i="11"/>
  <c r="V25" i="11"/>
  <c r="O25" i="11"/>
  <c r="N25" i="11"/>
  <c r="M25" i="11"/>
  <c r="L25" i="11"/>
  <c r="K25" i="11"/>
  <c r="J25" i="11"/>
  <c r="C25" i="11"/>
  <c r="IK23" i="11"/>
  <c r="IJ23" i="11"/>
  <c r="II23" i="11"/>
  <c r="IH23" i="11"/>
  <c r="IG23" i="11"/>
  <c r="IF23" i="11"/>
  <c r="HY23" i="11"/>
  <c r="HX23" i="11"/>
  <c r="HW23" i="11"/>
  <c r="HV23" i="11"/>
  <c r="HU23" i="11"/>
  <c r="HT23" i="11"/>
  <c r="HM23" i="11"/>
  <c r="HL23" i="11"/>
  <c r="HK23" i="11"/>
  <c r="HJ23" i="11"/>
  <c r="HI23" i="11"/>
  <c r="HH23" i="11"/>
  <c r="HA23" i="11"/>
  <c r="GZ23" i="11"/>
  <c r="GY23" i="11"/>
  <c r="GX23" i="11"/>
  <c r="GW23" i="11"/>
  <c r="GV23" i="11"/>
  <c r="GO23" i="11"/>
  <c r="GN23" i="11"/>
  <c r="GM23" i="11"/>
  <c r="GL23" i="11"/>
  <c r="GK23" i="11"/>
  <c r="GJ23" i="11"/>
  <c r="GB23" i="11"/>
  <c r="GA23" i="11"/>
  <c r="FZ23" i="11"/>
  <c r="FY23" i="11"/>
  <c r="FX23" i="11"/>
  <c r="FW23" i="11"/>
  <c r="FP23" i="11"/>
  <c r="FO23" i="11"/>
  <c r="FN23" i="11"/>
  <c r="FM23" i="11"/>
  <c r="FL23" i="11"/>
  <c r="FK23" i="11"/>
  <c r="FD23" i="11"/>
  <c r="FC23" i="11"/>
  <c r="FB23" i="11"/>
  <c r="FA23" i="11"/>
  <c r="EZ23" i="11"/>
  <c r="EY23" i="11"/>
  <c r="ER23" i="11"/>
  <c r="EQ23" i="11"/>
  <c r="EP23" i="11"/>
  <c r="EO23" i="11"/>
  <c r="EN23" i="11"/>
  <c r="EM23" i="11"/>
  <c r="EF23" i="11"/>
  <c r="EE23" i="11"/>
  <c r="ED23" i="11"/>
  <c r="EC23" i="11"/>
  <c r="EB23" i="11"/>
  <c r="EA23" i="11"/>
  <c r="DT23" i="11"/>
  <c r="DS23" i="11"/>
  <c r="DR23" i="11"/>
  <c r="DQ23" i="11"/>
  <c r="DP23" i="11"/>
  <c r="DO23" i="11"/>
  <c r="DH23" i="11"/>
  <c r="DG23" i="11"/>
  <c r="DF23" i="11"/>
  <c r="DE23" i="11"/>
  <c r="DD23" i="11"/>
  <c r="DC23" i="11"/>
  <c r="CV23" i="11"/>
  <c r="CU23" i="11"/>
  <c r="CT23" i="11"/>
  <c r="CS23" i="11"/>
  <c r="CR23" i="11"/>
  <c r="CQ23" i="11"/>
  <c r="CJ23" i="11"/>
  <c r="CI23" i="11"/>
  <c r="CH23" i="11"/>
  <c r="CG23" i="11"/>
  <c r="CF23" i="11"/>
  <c r="CE23" i="11"/>
  <c r="BX23" i="11"/>
  <c r="BW23" i="11"/>
  <c r="BV23" i="11"/>
  <c r="BU23" i="11"/>
  <c r="BT23" i="11"/>
  <c r="BS23" i="11"/>
  <c r="BK23" i="11"/>
  <c r="BJ23" i="11"/>
  <c r="BI23" i="11"/>
  <c r="BH23" i="11"/>
  <c r="BG23" i="11"/>
  <c r="BF23" i="11"/>
  <c r="AY23" i="11"/>
  <c r="AX23" i="11"/>
  <c r="AW23" i="11"/>
  <c r="AV23" i="11"/>
  <c r="AU23" i="11"/>
  <c r="AT23" i="11"/>
  <c r="AM23" i="11"/>
  <c r="AL23" i="11"/>
  <c r="AK23" i="11"/>
  <c r="AJ23" i="11"/>
  <c r="AI23" i="11"/>
  <c r="AH23" i="11"/>
  <c r="AA23" i="11"/>
  <c r="Z23" i="11"/>
  <c r="Y23" i="11"/>
  <c r="X23" i="11"/>
  <c r="W23" i="11"/>
  <c r="V23" i="11"/>
  <c r="O23" i="11"/>
  <c r="N23" i="11"/>
  <c r="M23" i="11"/>
  <c r="L23" i="11"/>
  <c r="K23" i="11"/>
  <c r="J23" i="11"/>
  <c r="C23" i="11"/>
  <c r="IK21" i="11"/>
  <c r="IJ21" i="11"/>
  <c r="II21" i="11"/>
  <c r="IH21" i="11"/>
  <c r="IG21" i="11"/>
  <c r="IF21" i="11"/>
  <c r="HY21" i="11"/>
  <c r="HX21" i="11"/>
  <c r="HW21" i="11"/>
  <c r="HV21" i="11"/>
  <c r="HU21" i="11"/>
  <c r="HT21" i="11"/>
  <c r="HM21" i="11"/>
  <c r="HL21" i="11"/>
  <c r="HK21" i="11"/>
  <c r="HJ21" i="11"/>
  <c r="HI21" i="11"/>
  <c r="HH21" i="11"/>
  <c r="HA21" i="11"/>
  <c r="GZ21" i="11"/>
  <c r="GY21" i="11"/>
  <c r="GX21" i="11"/>
  <c r="GW21" i="11"/>
  <c r="GV21" i="11"/>
  <c r="GO21" i="11"/>
  <c r="GN21" i="11"/>
  <c r="GM21" i="11"/>
  <c r="GL21" i="11"/>
  <c r="GK21" i="11"/>
  <c r="GJ21" i="11"/>
  <c r="GB21" i="11"/>
  <c r="GA21" i="11"/>
  <c r="FZ21" i="11"/>
  <c r="FY21" i="11"/>
  <c r="FX21" i="11"/>
  <c r="FW21" i="11"/>
  <c r="FP21" i="11"/>
  <c r="FO21" i="11"/>
  <c r="FN21" i="11"/>
  <c r="FM21" i="11"/>
  <c r="FL21" i="11"/>
  <c r="FK21" i="11"/>
  <c r="FD21" i="11"/>
  <c r="FC21" i="11"/>
  <c r="FB21" i="11"/>
  <c r="FA21" i="11"/>
  <c r="EZ21" i="11"/>
  <c r="EY21" i="11"/>
  <c r="ER21" i="11"/>
  <c r="EQ21" i="11"/>
  <c r="EP21" i="11"/>
  <c r="EO21" i="11"/>
  <c r="EN21" i="11"/>
  <c r="EM21" i="11"/>
  <c r="EF21" i="11"/>
  <c r="EE21" i="11"/>
  <c r="ED21" i="11"/>
  <c r="EC21" i="11"/>
  <c r="EB21" i="11"/>
  <c r="EA21" i="11"/>
  <c r="DT21" i="11"/>
  <c r="DS21" i="11"/>
  <c r="DR21" i="11"/>
  <c r="DQ21" i="11"/>
  <c r="DP21" i="11"/>
  <c r="DO21" i="11"/>
  <c r="DH21" i="11"/>
  <c r="DG21" i="11"/>
  <c r="DF21" i="11"/>
  <c r="DE21" i="11"/>
  <c r="DD21" i="11"/>
  <c r="DC21" i="11"/>
  <c r="CV21" i="11"/>
  <c r="CU21" i="11"/>
  <c r="CT21" i="11"/>
  <c r="CS21" i="11"/>
  <c r="CR21" i="11"/>
  <c r="CQ21" i="11"/>
  <c r="CJ21" i="11"/>
  <c r="CI21" i="11"/>
  <c r="CH21" i="11"/>
  <c r="CG21" i="11"/>
  <c r="CF21" i="11"/>
  <c r="CE21" i="11"/>
  <c r="BX21" i="11"/>
  <c r="BW21" i="11"/>
  <c r="BV21" i="11"/>
  <c r="BU21" i="11"/>
  <c r="BT21" i="11"/>
  <c r="BS21" i="11"/>
  <c r="BK21" i="11"/>
  <c r="BJ21" i="11"/>
  <c r="BI21" i="11"/>
  <c r="BH21" i="11"/>
  <c r="BG21" i="11"/>
  <c r="BF21" i="11"/>
  <c r="AY21" i="11"/>
  <c r="AX21" i="11"/>
  <c r="AW21" i="11"/>
  <c r="AV21" i="11"/>
  <c r="AU21" i="11"/>
  <c r="AT21" i="11"/>
  <c r="AM21" i="11"/>
  <c r="AL21" i="11"/>
  <c r="AK21" i="11"/>
  <c r="AJ21" i="11"/>
  <c r="AI21" i="11"/>
  <c r="AH21" i="11"/>
  <c r="AA21" i="11"/>
  <c r="Z21" i="11"/>
  <c r="Y21" i="11"/>
  <c r="X21" i="11"/>
  <c r="W21" i="11"/>
  <c r="V21" i="11"/>
  <c r="O21" i="11"/>
  <c r="N21" i="11"/>
  <c r="M21" i="11"/>
  <c r="L21" i="11"/>
  <c r="K21" i="11"/>
  <c r="J21" i="11"/>
  <c r="C21" i="11"/>
  <c r="IK19" i="11"/>
  <c r="IJ19" i="11"/>
  <c r="II19" i="11"/>
  <c r="IH19" i="11"/>
  <c r="IG19" i="11"/>
  <c r="IF19" i="11"/>
  <c r="HY19" i="11"/>
  <c r="HX19" i="11"/>
  <c r="HW19" i="11"/>
  <c r="HV19" i="11"/>
  <c r="HU19" i="11"/>
  <c r="HT19" i="11"/>
  <c r="HM19" i="11"/>
  <c r="HL19" i="11"/>
  <c r="HK19" i="11"/>
  <c r="HJ19" i="11"/>
  <c r="HI19" i="11"/>
  <c r="HH19" i="11"/>
  <c r="HA19" i="11"/>
  <c r="GZ19" i="11"/>
  <c r="GY19" i="11"/>
  <c r="GX19" i="11"/>
  <c r="GW19" i="11"/>
  <c r="GV19" i="11"/>
  <c r="GO19" i="11"/>
  <c r="GN19" i="11"/>
  <c r="GM19" i="11"/>
  <c r="GL19" i="11"/>
  <c r="GK19" i="11"/>
  <c r="GJ19" i="11"/>
  <c r="GB19" i="11"/>
  <c r="GA19" i="11"/>
  <c r="FZ19" i="11"/>
  <c r="FY19" i="11"/>
  <c r="FX19" i="11"/>
  <c r="FW19" i="11"/>
  <c r="FP19" i="11"/>
  <c r="FO19" i="11"/>
  <c r="FN19" i="11"/>
  <c r="FM19" i="11"/>
  <c r="FL19" i="11"/>
  <c r="FK19" i="11"/>
  <c r="FD19" i="11"/>
  <c r="FC19" i="11"/>
  <c r="FB19" i="11"/>
  <c r="FA19" i="11"/>
  <c r="EZ19" i="11"/>
  <c r="EY19" i="11"/>
  <c r="ER19" i="11"/>
  <c r="EQ19" i="11"/>
  <c r="EP19" i="11"/>
  <c r="EO19" i="11"/>
  <c r="EN19" i="11"/>
  <c r="EM19" i="11"/>
  <c r="EF19" i="11"/>
  <c r="EE19" i="11"/>
  <c r="ED19" i="11"/>
  <c r="EC19" i="11"/>
  <c r="EB19" i="11"/>
  <c r="EA19" i="11"/>
  <c r="DT19" i="11"/>
  <c r="DS19" i="11"/>
  <c r="DR19" i="11"/>
  <c r="DQ19" i="11"/>
  <c r="DP19" i="11"/>
  <c r="DO19" i="11"/>
  <c r="DH19" i="11"/>
  <c r="DG19" i="11"/>
  <c r="DF19" i="11"/>
  <c r="DE19" i="11"/>
  <c r="DD19" i="11"/>
  <c r="DC19" i="11"/>
  <c r="CV19" i="11"/>
  <c r="CU19" i="11"/>
  <c r="CT19" i="11"/>
  <c r="CS19" i="11"/>
  <c r="CR19" i="11"/>
  <c r="CQ19" i="11"/>
  <c r="CJ19" i="11"/>
  <c r="CI19" i="11"/>
  <c r="CH19" i="11"/>
  <c r="CG19" i="11"/>
  <c r="CF19" i="11"/>
  <c r="CE19" i="11"/>
  <c r="BX19" i="11"/>
  <c r="BW19" i="11"/>
  <c r="BV19" i="11"/>
  <c r="BU19" i="11"/>
  <c r="BT19" i="11"/>
  <c r="BS19" i="11"/>
  <c r="BK19" i="11"/>
  <c r="BJ19" i="11"/>
  <c r="BI19" i="11"/>
  <c r="BH19" i="11"/>
  <c r="BG19" i="11"/>
  <c r="BF19" i="11"/>
  <c r="AY19" i="11"/>
  <c r="AX19" i="11"/>
  <c r="AW19" i="11"/>
  <c r="AV19" i="11"/>
  <c r="AU19" i="11"/>
  <c r="AT19" i="11"/>
  <c r="AM19" i="11"/>
  <c r="AL19" i="11"/>
  <c r="AK19" i="11"/>
  <c r="AJ19" i="11"/>
  <c r="AI19" i="11"/>
  <c r="AH19" i="11"/>
  <c r="AA19" i="11"/>
  <c r="Z19" i="11"/>
  <c r="Y19" i="11"/>
  <c r="X19" i="11"/>
  <c r="W19" i="11"/>
  <c r="V19" i="11"/>
  <c r="O19" i="11"/>
  <c r="N19" i="11"/>
  <c r="M19" i="11"/>
  <c r="L19" i="11"/>
  <c r="K19" i="11"/>
  <c r="J19" i="11"/>
  <c r="C19" i="11"/>
  <c r="IK17" i="11"/>
  <c r="IJ17" i="11"/>
  <c r="II17" i="11"/>
  <c r="IH17" i="11"/>
  <c r="IG17" i="11"/>
  <c r="IF17" i="11"/>
  <c r="HY17" i="11"/>
  <c r="HX17" i="11"/>
  <c r="HW17" i="11"/>
  <c r="HV17" i="11"/>
  <c r="HU17" i="11"/>
  <c r="HT17" i="11"/>
  <c r="HM17" i="11"/>
  <c r="HL17" i="11"/>
  <c r="HK17" i="11"/>
  <c r="HJ17" i="11"/>
  <c r="HI17" i="11"/>
  <c r="HH17" i="11"/>
  <c r="HA17" i="11"/>
  <c r="GZ17" i="11"/>
  <c r="GY17" i="11"/>
  <c r="GX17" i="11"/>
  <c r="GW17" i="11"/>
  <c r="GV17" i="11"/>
  <c r="GO17" i="11"/>
  <c r="GN17" i="11"/>
  <c r="GM17" i="11"/>
  <c r="GL17" i="11"/>
  <c r="GK17" i="11"/>
  <c r="GJ17" i="11"/>
  <c r="GB17" i="11"/>
  <c r="GA17" i="11"/>
  <c r="FZ17" i="11"/>
  <c r="FY17" i="11"/>
  <c r="FX17" i="11"/>
  <c r="FW17" i="11"/>
  <c r="FP17" i="11"/>
  <c r="FO17" i="11"/>
  <c r="FN17" i="11"/>
  <c r="FM17" i="11"/>
  <c r="FL17" i="11"/>
  <c r="FK17" i="11"/>
  <c r="FD17" i="11"/>
  <c r="FC17" i="11"/>
  <c r="FB17" i="11"/>
  <c r="FA17" i="11"/>
  <c r="EZ17" i="11"/>
  <c r="EY17" i="11"/>
  <c r="ER17" i="11"/>
  <c r="EQ17" i="11"/>
  <c r="EP17" i="11"/>
  <c r="EO17" i="11"/>
  <c r="EN17" i="11"/>
  <c r="EM17" i="11"/>
  <c r="EF17" i="11"/>
  <c r="EE17" i="11"/>
  <c r="ED17" i="11"/>
  <c r="EC17" i="11"/>
  <c r="EB17" i="11"/>
  <c r="EA17" i="11"/>
  <c r="DT17" i="11"/>
  <c r="DS17" i="11"/>
  <c r="DR17" i="11"/>
  <c r="DQ17" i="11"/>
  <c r="DP17" i="11"/>
  <c r="DO17" i="11"/>
  <c r="DH17" i="11"/>
  <c r="DG17" i="11"/>
  <c r="DF17" i="11"/>
  <c r="DE17" i="11"/>
  <c r="DD17" i="11"/>
  <c r="DC17" i="11"/>
  <c r="CV17" i="11"/>
  <c r="CU17" i="11"/>
  <c r="CT17" i="11"/>
  <c r="CS17" i="11"/>
  <c r="CR17" i="11"/>
  <c r="CQ17" i="11"/>
  <c r="CJ17" i="11"/>
  <c r="CI17" i="11"/>
  <c r="CH17" i="11"/>
  <c r="CG17" i="11"/>
  <c r="CF17" i="11"/>
  <c r="CE17" i="11"/>
  <c r="BX17" i="11"/>
  <c r="BW17" i="11"/>
  <c r="BV17" i="11"/>
  <c r="BU17" i="11"/>
  <c r="BT17" i="11"/>
  <c r="BS17" i="11"/>
  <c r="BK17" i="11"/>
  <c r="BJ17" i="11"/>
  <c r="BI17" i="11"/>
  <c r="BH17" i="11"/>
  <c r="BG17" i="11"/>
  <c r="BF17" i="11"/>
  <c r="AY17" i="11"/>
  <c r="AX17" i="11"/>
  <c r="AW17" i="11"/>
  <c r="AV17" i="11"/>
  <c r="AU17" i="11"/>
  <c r="AT17" i="11"/>
  <c r="AM17" i="11"/>
  <c r="AL17" i="11"/>
  <c r="AK17" i="11"/>
  <c r="AJ17" i="11"/>
  <c r="AI17" i="11"/>
  <c r="AH17" i="11"/>
  <c r="AA17" i="11"/>
  <c r="Z17" i="11"/>
  <c r="Y17" i="11"/>
  <c r="X17" i="11"/>
  <c r="W17" i="11"/>
  <c r="V17" i="11"/>
  <c r="O17" i="11"/>
  <c r="N17" i="11"/>
  <c r="M17" i="11"/>
  <c r="L17" i="11"/>
  <c r="K17" i="11"/>
  <c r="J17" i="11"/>
  <c r="C17" i="11"/>
  <c r="IK15" i="11"/>
  <c r="IJ15" i="11"/>
  <c r="II15" i="11"/>
  <c r="IH15" i="11"/>
  <c r="IG15" i="11"/>
  <c r="IF15" i="11"/>
  <c r="HY15" i="11"/>
  <c r="HX15" i="11"/>
  <c r="HW15" i="11"/>
  <c r="HV15" i="11"/>
  <c r="HU15" i="11"/>
  <c r="HT15" i="11"/>
  <c r="HM15" i="11"/>
  <c r="HL15" i="11"/>
  <c r="HK15" i="11"/>
  <c r="HJ15" i="11"/>
  <c r="HI15" i="11"/>
  <c r="HH15" i="11"/>
  <c r="HA15" i="11"/>
  <c r="GZ15" i="11"/>
  <c r="GY15" i="11"/>
  <c r="GX15" i="11"/>
  <c r="GW15" i="11"/>
  <c r="GV15" i="11"/>
  <c r="GO15" i="11"/>
  <c r="GN15" i="11"/>
  <c r="GM15" i="11"/>
  <c r="GL15" i="11"/>
  <c r="GK15" i="11"/>
  <c r="GJ15" i="11"/>
  <c r="GB15" i="11"/>
  <c r="GA15" i="11"/>
  <c r="FZ15" i="11"/>
  <c r="FY15" i="11"/>
  <c r="FX15" i="11"/>
  <c r="FW15" i="11"/>
  <c r="FP15" i="11"/>
  <c r="FO15" i="11"/>
  <c r="FN15" i="11"/>
  <c r="FM15" i="11"/>
  <c r="FL15" i="11"/>
  <c r="FK15" i="11"/>
  <c r="FD15" i="11"/>
  <c r="FC15" i="11"/>
  <c r="FB15" i="11"/>
  <c r="FA15" i="11"/>
  <c r="EZ15" i="11"/>
  <c r="EY15" i="11"/>
  <c r="ER15" i="11"/>
  <c r="EQ15" i="11"/>
  <c r="EP15" i="11"/>
  <c r="EO15" i="11"/>
  <c r="EN15" i="11"/>
  <c r="EM15" i="11"/>
  <c r="EF15" i="11"/>
  <c r="EE15" i="11"/>
  <c r="ED15" i="11"/>
  <c r="EC15" i="11"/>
  <c r="EB15" i="11"/>
  <c r="EA15" i="11"/>
  <c r="DT15" i="11"/>
  <c r="DS15" i="11"/>
  <c r="DR15" i="11"/>
  <c r="DQ15" i="11"/>
  <c r="DP15" i="11"/>
  <c r="DO15" i="11"/>
  <c r="DH15" i="11"/>
  <c r="DG15" i="11"/>
  <c r="DF15" i="11"/>
  <c r="DE15" i="11"/>
  <c r="DD15" i="11"/>
  <c r="DC15" i="11"/>
  <c r="CV15" i="11"/>
  <c r="CU15" i="11"/>
  <c r="CT15" i="11"/>
  <c r="CS15" i="11"/>
  <c r="CR15" i="11"/>
  <c r="CQ15" i="11"/>
  <c r="CJ15" i="11"/>
  <c r="CI15" i="11"/>
  <c r="CH15" i="11"/>
  <c r="CG15" i="11"/>
  <c r="CF15" i="11"/>
  <c r="CE15" i="11"/>
  <c r="BX15" i="11"/>
  <c r="BW15" i="11"/>
  <c r="BV15" i="11"/>
  <c r="BU15" i="11"/>
  <c r="BT15" i="11"/>
  <c r="BS15" i="11"/>
  <c r="BK15" i="11"/>
  <c r="BJ15" i="11"/>
  <c r="BI15" i="11"/>
  <c r="BH15" i="11"/>
  <c r="BG15" i="11"/>
  <c r="BF15" i="11"/>
  <c r="AY15" i="11"/>
  <c r="AX15" i="11"/>
  <c r="AW15" i="11"/>
  <c r="AV15" i="11"/>
  <c r="AU15" i="11"/>
  <c r="AT15" i="11"/>
  <c r="AM15" i="11"/>
  <c r="AL15" i="11"/>
  <c r="AK15" i="11"/>
  <c r="AJ15" i="11"/>
  <c r="AI15" i="11"/>
  <c r="AH15" i="11"/>
  <c r="AA15" i="11"/>
  <c r="Z15" i="11"/>
  <c r="Y15" i="11"/>
  <c r="X15" i="11"/>
  <c r="W15" i="11"/>
  <c r="V15" i="11"/>
  <c r="O15" i="11"/>
  <c r="N15" i="11"/>
  <c r="M15" i="11"/>
  <c r="L15" i="11"/>
  <c r="K15" i="11"/>
  <c r="J15" i="11"/>
  <c r="C15" i="11"/>
  <c r="IK13" i="11"/>
  <c r="IJ13" i="11"/>
  <c r="II13" i="11"/>
  <c r="IH13" i="11"/>
  <c r="IG13" i="11"/>
  <c r="IF13" i="11"/>
  <c r="HY13" i="11"/>
  <c r="HX13" i="11"/>
  <c r="HW13" i="11"/>
  <c r="HV13" i="11"/>
  <c r="HU13" i="11"/>
  <c r="HT13" i="11"/>
  <c r="HM13" i="11"/>
  <c r="HL13" i="11"/>
  <c r="HK13" i="11"/>
  <c r="HJ13" i="11"/>
  <c r="HI13" i="11"/>
  <c r="HH13" i="11"/>
  <c r="HA13" i="11"/>
  <c r="GZ13" i="11"/>
  <c r="GY13" i="11"/>
  <c r="GX13" i="11"/>
  <c r="GW13" i="11"/>
  <c r="GV13" i="11"/>
  <c r="GO13" i="11"/>
  <c r="GN13" i="11"/>
  <c r="GM13" i="11"/>
  <c r="GL13" i="11"/>
  <c r="GK13" i="11"/>
  <c r="GJ13" i="11"/>
  <c r="GB13" i="11"/>
  <c r="GA13" i="11"/>
  <c r="FZ13" i="11"/>
  <c r="FY13" i="11"/>
  <c r="FX13" i="11"/>
  <c r="FW13" i="11"/>
  <c r="FP13" i="11"/>
  <c r="FO13" i="11"/>
  <c r="FN13" i="11"/>
  <c r="FM13" i="11"/>
  <c r="FL13" i="11"/>
  <c r="FK13" i="11"/>
  <c r="FD13" i="11"/>
  <c r="FC13" i="11"/>
  <c r="FB13" i="11"/>
  <c r="FA13" i="11"/>
  <c r="EZ13" i="11"/>
  <c r="EY13" i="11"/>
  <c r="ER13" i="11"/>
  <c r="EQ13" i="11"/>
  <c r="EP13" i="11"/>
  <c r="EO13" i="11"/>
  <c r="EN13" i="11"/>
  <c r="EM13" i="11"/>
  <c r="EF13" i="11"/>
  <c r="EE13" i="11"/>
  <c r="ED13" i="11"/>
  <c r="EC13" i="11"/>
  <c r="EA13" i="11"/>
  <c r="DT13" i="11"/>
  <c r="DS13" i="11"/>
  <c r="DR13" i="11"/>
  <c r="DQ13" i="11"/>
  <c r="DP13" i="11"/>
  <c r="DO13" i="11"/>
  <c r="DH13" i="11"/>
  <c r="DG13" i="11"/>
  <c r="DF13" i="11"/>
  <c r="DE13" i="11"/>
  <c r="DD13" i="11"/>
  <c r="DC13" i="11"/>
  <c r="CV13" i="11"/>
  <c r="CU13" i="11"/>
  <c r="CT13" i="11"/>
  <c r="CS13" i="11"/>
  <c r="CR13" i="11"/>
  <c r="CQ13" i="11"/>
  <c r="CJ13" i="11"/>
  <c r="CI13" i="11"/>
  <c r="CH13" i="11"/>
  <c r="CG13" i="11"/>
  <c r="CF13" i="11"/>
  <c r="CE13" i="11"/>
  <c r="BX13" i="11"/>
  <c r="BW13" i="11"/>
  <c r="BV13" i="11"/>
  <c r="BU13" i="11"/>
  <c r="BT13" i="11"/>
  <c r="BS13" i="11"/>
  <c r="BK13" i="11"/>
  <c r="BJ13" i="11"/>
  <c r="BI13" i="11"/>
  <c r="BH13" i="11"/>
  <c r="BG13" i="11"/>
  <c r="BF13" i="11"/>
  <c r="AY13" i="11"/>
  <c r="AX13" i="11"/>
  <c r="AW13" i="11"/>
  <c r="AV13" i="11"/>
  <c r="AU13" i="11"/>
  <c r="AT13" i="11"/>
  <c r="AM13" i="11"/>
  <c r="AL13" i="11"/>
  <c r="AK13" i="11"/>
  <c r="AJ13" i="11"/>
  <c r="AI13" i="11"/>
  <c r="AH13" i="11"/>
  <c r="AA13" i="11"/>
  <c r="Z13" i="11"/>
  <c r="Y13" i="11"/>
  <c r="X13" i="11"/>
  <c r="W13" i="11"/>
  <c r="V13" i="11"/>
  <c r="O13" i="11"/>
  <c r="N13" i="11"/>
  <c r="M13" i="11"/>
  <c r="L13" i="11"/>
  <c r="K13" i="11"/>
  <c r="J13" i="11"/>
  <c r="C13" i="11"/>
  <c r="IK11" i="11"/>
  <c r="IJ11" i="11"/>
  <c r="II11" i="11"/>
  <c r="IH11" i="11"/>
  <c r="IG11" i="11"/>
  <c r="IF11" i="11"/>
  <c r="HY11" i="11"/>
  <c r="HX11" i="11"/>
  <c r="HW11" i="11"/>
  <c r="HV11" i="11"/>
  <c r="HU11" i="11"/>
  <c r="HT11" i="11"/>
  <c r="HM11" i="11"/>
  <c r="HL11" i="11"/>
  <c r="HK11" i="11"/>
  <c r="HJ11" i="11"/>
  <c r="HI11" i="11"/>
  <c r="HH11" i="11"/>
  <c r="HA11" i="11"/>
  <c r="GZ11" i="11"/>
  <c r="GY11" i="11"/>
  <c r="GX11" i="11"/>
  <c r="GW11" i="11"/>
  <c r="GV11" i="11"/>
  <c r="GO11" i="11"/>
  <c r="GN11" i="11"/>
  <c r="GM11" i="11"/>
  <c r="GL11" i="11"/>
  <c r="GK11" i="11"/>
  <c r="GJ11" i="11"/>
  <c r="GB11" i="11"/>
  <c r="GA11" i="11"/>
  <c r="FZ11" i="11"/>
  <c r="FY11" i="11"/>
  <c r="FX11" i="11"/>
  <c r="FW11" i="11"/>
  <c r="FP11" i="11"/>
  <c r="FO11" i="11"/>
  <c r="FN11" i="11"/>
  <c r="FM11" i="11"/>
  <c r="FL11" i="11"/>
  <c r="FK11" i="11"/>
  <c r="FD11" i="11"/>
  <c r="FC11" i="11"/>
  <c r="FB11" i="11"/>
  <c r="FA11" i="11"/>
  <c r="EZ11" i="11"/>
  <c r="EY11" i="11"/>
  <c r="ER11" i="11"/>
  <c r="EQ11" i="11"/>
  <c r="EP11" i="11"/>
  <c r="EO11" i="11"/>
  <c r="EN11" i="11"/>
  <c r="EM11" i="11"/>
  <c r="EF11" i="11"/>
  <c r="EE11" i="11"/>
  <c r="ED11" i="11"/>
  <c r="EC11" i="11"/>
  <c r="EB11" i="11"/>
  <c r="EA11" i="11"/>
  <c r="DT11" i="11"/>
  <c r="DS11" i="11"/>
  <c r="DR11" i="11"/>
  <c r="DQ11" i="11"/>
  <c r="DP11" i="11"/>
  <c r="DO11" i="11"/>
  <c r="DH11" i="11"/>
  <c r="DG11" i="11"/>
  <c r="DF11" i="11"/>
  <c r="DE11" i="11"/>
  <c r="DD11" i="11"/>
  <c r="DC11" i="11"/>
  <c r="CV11" i="11"/>
  <c r="CU11" i="11"/>
  <c r="CT11" i="11"/>
  <c r="CS11" i="11"/>
  <c r="CR11" i="11"/>
  <c r="CQ11" i="11"/>
  <c r="CJ11" i="11"/>
  <c r="CI11" i="11"/>
  <c r="CH11" i="11"/>
  <c r="CG11" i="11"/>
  <c r="CF11" i="11"/>
  <c r="CE11" i="11"/>
  <c r="BX11" i="11"/>
  <c r="BW11" i="11"/>
  <c r="BV11" i="11"/>
  <c r="BU11" i="11"/>
  <c r="BT11" i="11"/>
  <c r="BS11" i="11"/>
  <c r="BK11" i="11"/>
  <c r="BJ11" i="11"/>
  <c r="BI11" i="11"/>
  <c r="BH11" i="11"/>
  <c r="BG11" i="11"/>
  <c r="BF11" i="11"/>
  <c r="AY11" i="11"/>
  <c r="AX11" i="11"/>
  <c r="AW11" i="11"/>
  <c r="AV11" i="11"/>
  <c r="AU11" i="11"/>
  <c r="AT11" i="11"/>
  <c r="AM11" i="11"/>
  <c r="AL11" i="11"/>
  <c r="AK11" i="11"/>
  <c r="AJ11" i="11"/>
  <c r="AI11" i="11"/>
  <c r="AH11" i="11"/>
  <c r="AA11" i="11"/>
  <c r="Z11" i="11"/>
  <c r="Y11" i="11"/>
  <c r="X11" i="11"/>
  <c r="W11" i="11"/>
  <c r="V11" i="11"/>
  <c r="O11" i="11"/>
  <c r="N11" i="11"/>
  <c r="M11" i="11"/>
  <c r="L11" i="11"/>
  <c r="K11" i="11"/>
  <c r="J11" i="11"/>
  <c r="C11" i="11"/>
  <c r="IK9" i="11"/>
  <c r="IJ9" i="11"/>
  <c r="II9" i="11"/>
  <c r="IH9" i="11"/>
  <c r="IG9" i="11"/>
  <c r="IF9" i="11"/>
  <c r="HY9" i="11"/>
  <c r="HX9" i="11"/>
  <c r="HW9" i="11"/>
  <c r="HV9" i="11"/>
  <c r="HU9" i="11"/>
  <c r="HT9" i="11"/>
  <c r="HM9" i="11"/>
  <c r="HL9" i="11"/>
  <c r="HK9" i="11"/>
  <c r="HJ9" i="11"/>
  <c r="HI9" i="11"/>
  <c r="HH9" i="11"/>
  <c r="HA9" i="11"/>
  <c r="GZ9" i="11"/>
  <c r="GY9" i="11"/>
  <c r="GX9" i="11"/>
  <c r="GW9" i="11"/>
  <c r="GV9" i="11"/>
  <c r="GO9" i="11"/>
  <c r="GN9" i="11"/>
  <c r="GM9" i="11"/>
  <c r="GL9" i="11"/>
  <c r="GK9" i="11"/>
  <c r="GJ9" i="11"/>
  <c r="GB9" i="11"/>
  <c r="GA9" i="11"/>
  <c r="FZ9" i="11"/>
  <c r="FY9" i="11"/>
  <c r="FX9" i="11"/>
  <c r="FW9" i="11"/>
  <c r="FP9" i="11"/>
  <c r="FO9" i="11"/>
  <c r="FN9" i="11"/>
  <c r="FM9" i="11"/>
  <c r="FL9" i="11"/>
  <c r="FK9" i="11"/>
  <c r="FD9" i="11"/>
  <c r="FC9" i="11"/>
  <c r="FB9" i="11"/>
  <c r="FA9" i="11"/>
  <c r="EZ9" i="11"/>
  <c r="EY9" i="11"/>
  <c r="ER9" i="11"/>
  <c r="EQ9" i="11"/>
  <c r="EP9" i="11"/>
  <c r="EO9" i="11"/>
  <c r="EN9" i="11"/>
  <c r="EM9" i="11"/>
  <c r="EF9" i="11"/>
  <c r="EE9" i="11"/>
  <c r="ED9" i="11"/>
  <c r="EC9" i="11"/>
  <c r="EB9" i="11"/>
  <c r="EA9" i="11"/>
  <c r="DT9" i="11"/>
  <c r="DS9" i="11"/>
  <c r="DR9" i="11"/>
  <c r="DQ9" i="11"/>
  <c r="DP9" i="11"/>
  <c r="DO9" i="11"/>
  <c r="DH9" i="11"/>
  <c r="DG9" i="11"/>
  <c r="DF9" i="11"/>
  <c r="DE9" i="11"/>
  <c r="DD9" i="11"/>
  <c r="DC9" i="11"/>
  <c r="CV9" i="11"/>
  <c r="CU9" i="11"/>
  <c r="CT9" i="11"/>
  <c r="CS9" i="11"/>
  <c r="CR9" i="11"/>
  <c r="CQ9" i="11"/>
  <c r="CJ9" i="11"/>
  <c r="CI9" i="11"/>
  <c r="CH9" i="11"/>
  <c r="CG9" i="11"/>
  <c r="CF9" i="11"/>
  <c r="CE9" i="11"/>
  <c r="BX9" i="11"/>
  <c r="BW9" i="11"/>
  <c r="BV9" i="11"/>
  <c r="BU9" i="11"/>
  <c r="BT9" i="11"/>
  <c r="BS9" i="11"/>
  <c r="BK9" i="11"/>
  <c r="BJ9" i="11"/>
  <c r="BI9" i="11"/>
  <c r="BH9" i="11"/>
  <c r="BG9" i="11"/>
  <c r="BF9" i="11"/>
  <c r="AY9" i="11"/>
  <c r="AX9" i="11"/>
  <c r="AW9" i="11"/>
  <c r="AV9" i="11"/>
  <c r="AU9" i="11"/>
  <c r="AT9" i="11"/>
  <c r="AM9" i="11"/>
  <c r="AL9" i="11"/>
  <c r="AK9" i="11"/>
  <c r="AJ9" i="11"/>
  <c r="AI9" i="11"/>
  <c r="AH9" i="11"/>
  <c r="AA9" i="11"/>
  <c r="Z9" i="11"/>
  <c r="Y9" i="11"/>
  <c r="X9" i="11"/>
  <c r="W9" i="11"/>
  <c r="V9" i="11"/>
  <c r="O9" i="11"/>
  <c r="N9" i="11"/>
  <c r="M9" i="11"/>
  <c r="L9" i="11"/>
  <c r="K9" i="11"/>
  <c r="J9" i="11"/>
  <c r="C9" i="11"/>
  <c r="IK7" i="11"/>
  <c r="IJ7" i="11"/>
  <c r="II7" i="11"/>
  <c r="IH7" i="11"/>
  <c r="IG7" i="11"/>
  <c r="IF7" i="11"/>
  <c r="HY7" i="11"/>
  <c r="HX7" i="11"/>
  <c r="HW7" i="11"/>
  <c r="HV7" i="11"/>
  <c r="HU7" i="11"/>
  <c r="HT7" i="11"/>
  <c r="HM7" i="11"/>
  <c r="HL7" i="11"/>
  <c r="HK7" i="11"/>
  <c r="HJ7" i="11"/>
  <c r="HI7" i="11"/>
  <c r="HH7" i="11"/>
  <c r="HA7" i="11"/>
  <c r="GZ7" i="11"/>
  <c r="GY7" i="11"/>
  <c r="GX7" i="11"/>
  <c r="GW7" i="11"/>
  <c r="GV7" i="11"/>
  <c r="GO7" i="11"/>
  <c r="GN7" i="11"/>
  <c r="GM7" i="11"/>
  <c r="GL7" i="11"/>
  <c r="GK7" i="11"/>
  <c r="GJ7" i="11"/>
  <c r="GB7" i="11"/>
  <c r="GA7" i="11"/>
  <c r="FZ7" i="11"/>
  <c r="FY7" i="11"/>
  <c r="FX7" i="11"/>
  <c r="FW7" i="11"/>
  <c r="FP7" i="11"/>
  <c r="FO7" i="11"/>
  <c r="FN7" i="11"/>
  <c r="FM7" i="11"/>
  <c r="FL7" i="11"/>
  <c r="FK7" i="11"/>
  <c r="FD7" i="11"/>
  <c r="FC7" i="11"/>
  <c r="FB7" i="11"/>
  <c r="FA7" i="11"/>
  <c r="EZ7" i="11"/>
  <c r="EY7" i="11"/>
  <c r="ER7" i="11"/>
  <c r="EQ7" i="11"/>
  <c r="EP7" i="11"/>
  <c r="EO7" i="11"/>
  <c r="EN7" i="11"/>
  <c r="EM7" i="11"/>
  <c r="EF7" i="11"/>
  <c r="EE7" i="11"/>
  <c r="ED7" i="11"/>
  <c r="EC7" i="11"/>
  <c r="EB7" i="11"/>
  <c r="EA7" i="11"/>
  <c r="DT7" i="11"/>
  <c r="DS7" i="11"/>
  <c r="DR7" i="11"/>
  <c r="DQ7" i="11"/>
  <c r="DP7" i="11"/>
  <c r="DO7" i="11"/>
  <c r="DH7" i="11"/>
  <c r="DG7" i="11"/>
  <c r="DF7" i="11"/>
  <c r="DE7" i="11"/>
  <c r="DD7" i="11"/>
  <c r="DC7" i="11"/>
  <c r="CV7" i="11"/>
  <c r="CU7" i="11"/>
  <c r="CT7" i="11"/>
  <c r="CS7" i="11"/>
  <c r="CR7" i="11"/>
  <c r="CQ7" i="11"/>
  <c r="CJ7" i="11"/>
  <c r="CI7" i="11"/>
  <c r="CH7" i="11"/>
  <c r="CG7" i="11"/>
  <c r="CF7" i="11"/>
  <c r="CE7" i="11"/>
  <c r="BX7" i="11"/>
  <c r="BW7" i="11"/>
  <c r="BV7" i="11"/>
  <c r="BU7" i="11"/>
  <c r="BT7" i="11"/>
  <c r="BS7" i="11"/>
  <c r="BK7" i="11"/>
  <c r="BJ7" i="11"/>
  <c r="BI7" i="11"/>
  <c r="BH7" i="11"/>
  <c r="BG7" i="11"/>
  <c r="BF7" i="11"/>
  <c r="AY7" i="11"/>
  <c r="AX7" i="11"/>
  <c r="AW7" i="11"/>
  <c r="AV7" i="11"/>
  <c r="AU7" i="11"/>
  <c r="AT7" i="11"/>
  <c r="AM7" i="11"/>
  <c r="AL7" i="11"/>
  <c r="AK7" i="11"/>
  <c r="AJ7" i="11"/>
  <c r="AI7" i="11"/>
  <c r="AH7" i="11"/>
  <c r="AA7" i="11"/>
  <c r="Z7" i="11"/>
  <c r="Y7" i="11"/>
  <c r="X7" i="11"/>
  <c r="W7" i="11"/>
  <c r="V7" i="11"/>
  <c r="O7" i="11"/>
  <c r="N7" i="11"/>
  <c r="M7" i="11"/>
  <c r="L7" i="11"/>
  <c r="K7" i="11"/>
  <c r="J7" i="11"/>
  <c r="C7" i="11"/>
  <c r="IK5" i="11"/>
  <c r="IJ5" i="11"/>
  <c r="II5" i="11"/>
  <c r="IH5" i="11"/>
  <c r="IG5" i="11"/>
  <c r="IF5" i="11"/>
  <c r="HY5" i="11"/>
  <c r="HX5" i="11"/>
  <c r="HW5" i="11"/>
  <c r="HV5" i="11"/>
  <c r="HU5" i="11"/>
  <c r="HT5" i="11"/>
  <c r="HM5" i="11"/>
  <c r="HL5" i="11"/>
  <c r="HK5" i="11"/>
  <c r="HJ5" i="11"/>
  <c r="HI5" i="11"/>
  <c r="HH5" i="11"/>
  <c r="HA5" i="11"/>
  <c r="GZ5" i="11"/>
  <c r="GY5" i="11"/>
  <c r="GX5" i="11"/>
  <c r="GW5" i="11"/>
  <c r="GV5" i="11"/>
  <c r="GO5" i="11"/>
  <c r="GN5" i="11"/>
  <c r="GM5" i="11"/>
  <c r="GL5" i="11"/>
  <c r="GK5" i="11"/>
  <c r="GJ5" i="11"/>
  <c r="GB5" i="11"/>
  <c r="GA5" i="11"/>
  <c r="FZ5" i="11"/>
  <c r="FY5" i="11"/>
  <c r="FX5" i="11"/>
  <c r="FW5" i="11"/>
  <c r="FP5" i="11"/>
  <c r="FO5" i="11"/>
  <c r="FN5" i="11"/>
  <c r="FM5" i="11"/>
  <c r="FL5" i="11"/>
  <c r="FK5" i="11"/>
  <c r="FD5" i="11"/>
  <c r="FC5" i="11"/>
  <c r="FB5" i="11"/>
  <c r="FA5" i="11"/>
  <c r="EZ5" i="11"/>
  <c r="EY5" i="11"/>
  <c r="ER5" i="11"/>
  <c r="EQ5" i="11"/>
  <c r="EP5" i="11"/>
  <c r="EO5" i="11"/>
  <c r="EN5" i="11"/>
  <c r="EM5" i="11"/>
  <c r="EF5" i="11"/>
  <c r="EE5" i="11"/>
  <c r="ED5" i="11"/>
  <c r="EC5" i="11"/>
  <c r="EB5" i="11"/>
  <c r="EA5" i="11"/>
  <c r="DT5" i="11"/>
  <c r="DS5" i="11"/>
  <c r="DR5" i="11"/>
  <c r="DQ5" i="11"/>
  <c r="DP5" i="11"/>
  <c r="DO5" i="11"/>
  <c r="DH5" i="11"/>
  <c r="DG5" i="11"/>
  <c r="DF5" i="11"/>
  <c r="DE5" i="11"/>
  <c r="DD5" i="11"/>
  <c r="DC5" i="11"/>
  <c r="CV5" i="11"/>
  <c r="CU5" i="11"/>
  <c r="CT5" i="11"/>
  <c r="CS5" i="11"/>
  <c r="CR5" i="11"/>
  <c r="CQ5" i="11"/>
  <c r="CJ5" i="11"/>
  <c r="CI5" i="11"/>
  <c r="CH5" i="11"/>
  <c r="CG5" i="11"/>
  <c r="CF5" i="11"/>
  <c r="CE5" i="11"/>
  <c r="BX5" i="11"/>
  <c r="BW5" i="11"/>
  <c r="BV5" i="11"/>
  <c r="BU5" i="11"/>
  <c r="BT5" i="11"/>
  <c r="BS5" i="11"/>
  <c r="BK5" i="11"/>
  <c r="BJ5" i="11"/>
  <c r="BI5" i="11"/>
  <c r="BH5" i="11"/>
  <c r="BG5" i="11"/>
  <c r="BF5" i="11"/>
  <c r="AY5" i="11"/>
  <c r="AX5" i="11"/>
  <c r="AW5" i="11"/>
  <c r="AV5" i="11"/>
  <c r="AU5" i="11"/>
  <c r="AT5" i="11"/>
  <c r="AM5" i="11"/>
  <c r="AL5" i="11"/>
  <c r="AK5" i="11"/>
  <c r="AJ5" i="11"/>
  <c r="AI5" i="11"/>
  <c r="AH5" i="11"/>
  <c r="AA5" i="11"/>
  <c r="Z5" i="11"/>
  <c r="Y5" i="11"/>
  <c r="X5" i="11"/>
  <c r="W5" i="11"/>
  <c r="V5" i="11"/>
  <c r="O5" i="11"/>
  <c r="N5" i="11"/>
  <c r="M5" i="11"/>
  <c r="L5" i="11"/>
  <c r="K5" i="11"/>
  <c r="J5" i="11"/>
  <c r="C5" i="11"/>
  <c r="IK3" i="11"/>
  <c r="IJ3" i="11"/>
  <c r="II3" i="11"/>
  <c r="IH3" i="11"/>
  <c r="IG3" i="11"/>
  <c r="IF3" i="11"/>
  <c r="HY3" i="11"/>
  <c r="HX3" i="11"/>
  <c r="HW3" i="11"/>
  <c r="HV3" i="11"/>
  <c r="HU3" i="11"/>
  <c r="HT3" i="11"/>
  <c r="HM3" i="11"/>
  <c r="HL3" i="11"/>
  <c r="HK3" i="11"/>
  <c r="HJ3" i="11"/>
  <c r="HI3" i="11"/>
  <c r="HH3" i="11"/>
  <c r="HA3" i="11"/>
  <c r="GZ3" i="11"/>
  <c r="GY3" i="11"/>
  <c r="GX3" i="11"/>
  <c r="GW3" i="11"/>
  <c r="GV3" i="11"/>
  <c r="GO3" i="11"/>
  <c r="GN3" i="11"/>
  <c r="GM3" i="11"/>
  <c r="GL3" i="11"/>
  <c r="GK3" i="11"/>
  <c r="GJ3" i="11"/>
  <c r="GB3" i="11"/>
  <c r="GA3" i="11"/>
  <c r="FZ3" i="11"/>
  <c r="FY3" i="11"/>
  <c r="FX3" i="11"/>
  <c r="FW3" i="11"/>
  <c r="FP3" i="11"/>
  <c r="FO3" i="11"/>
  <c r="FN3" i="11"/>
  <c r="FM3" i="11"/>
  <c r="FL3" i="11"/>
  <c r="FK3" i="11"/>
  <c r="FD3" i="11"/>
  <c r="FC3" i="11"/>
  <c r="FB3" i="11"/>
  <c r="FA3" i="11"/>
  <c r="EZ3" i="11"/>
  <c r="EY3" i="11"/>
  <c r="ER3" i="11"/>
  <c r="EQ3" i="11"/>
  <c r="EP3" i="11"/>
  <c r="EO3" i="11"/>
  <c r="EN3" i="11"/>
  <c r="EM3" i="11"/>
  <c r="EF3" i="11"/>
  <c r="EE3" i="11"/>
  <c r="ED3" i="11"/>
  <c r="EC3" i="11"/>
  <c r="EB3" i="11"/>
  <c r="EA3" i="11"/>
  <c r="DT3" i="11"/>
  <c r="DS3" i="11"/>
  <c r="DR3" i="11"/>
  <c r="DQ3" i="11"/>
  <c r="DP3" i="11"/>
  <c r="DO3" i="11"/>
  <c r="DH3" i="11"/>
  <c r="DG3" i="11"/>
  <c r="DF3" i="11"/>
  <c r="DE3" i="11"/>
  <c r="DD3" i="11"/>
  <c r="DC3" i="11"/>
  <c r="CV3" i="11"/>
  <c r="CU3" i="11"/>
  <c r="CT3" i="11"/>
  <c r="CS3" i="11"/>
  <c r="CR3" i="11"/>
  <c r="CQ3" i="11"/>
  <c r="CJ3" i="11"/>
  <c r="CI3" i="11"/>
  <c r="CH3" i="11"/>
  <c r="CG3" i="11"/>
  <c r="CF3" i="11"/>
  <c r="CE3" i="11"/>
  <c r="BX3" i="11"/>
  <c r="BW3" i="11"/>
  <c r="BV3" i="11"/>
  <c r="BU3" i="11"/>
  <c r="BT3" i="11"/>
  <c r="BS3" i="11"/>
  <c r="BK3" i="11"/>
  <c r="BJ3" i="11"/>
  <c r="BI3" i="11"/>
  <c r="BH3" i="11"/>
  <c r="BG3" i="11"/>
  <c r="BF3" i="11"/>
  <c r="AY3" i="11"/>
  <c r="AX3" i="11"/>
  <c r="AW3" i="11"/>
  <c r="AV3" i="11"/>
  <c r="AU3" i="11"/>
  <c r="AT3" i="11"/>
  <c r="AM3" i="11"/>
  <c r="AL3" i="11"/>
  <c r="AK3" i="11"/>
  <c r="AJ3" i="11"/>
  <c r="AI3" i="11"/>
  <c r="AH3" i="11"/>
  <c r="AA3" i="11"/>
  <c r="Z3" i="11"/>
  <c r="Y3" i="11"/>
  <c r="X3" i="11"/>
  <c r="W3" i="11"/>
  <c r="V3" i="11"/>
  <c r="O3" i="11"/>
  <c r="N3" i="11"/>
  <c r="M3" i="11"/>
  <c r="L3" i="11"/>
  <c r="K3" i="11"/>
  <c r="J3" i="11"/>
  <c r="C3" i="11"/>
  <c r="IQ41" i="11" l="1"/>
  <c r="IP43" i="11"/>
  <c r="G25" i="12" s="1"/>
  <c r="Z18" i="15"/>
  <c r="IM5" i="11"/>
  <c r="D6" i="12" s="1"/>
  <c r="IL7" i="11"/>
  <c r="C7" i="12" s="1"/>
  <c r="IP7" i="11"/>
  <c r="G7" i="12" s="1"/>
  <c r="IM9" i="11"/>
  <c r="D8" i="12" s="1"/>
  <c r="I8" i="12" s="1"/>
  <c r="IN11" i="11"/>
  <c r="E9" i="12" s="1"/>
  <c r="IP11" i="11"/>
  <c r="G9" i="12" s="1"/>
  <c r="IN21" i="11"/>
  <c r="E14" i="12" s="1"/>
  <c r="IO23" i="11"/>
  <c r="F15" i="12" s="1"/>
  <c r="IL25" i="11"/>
  <c r="C16" i="12" s="1"/>
  <c r="IQ31" i="11"/>
  <c r="IN37" i="11"/>
  <c r="E22" i="12" s="1"/>
  <c r="IM39" i="11"/>
  <c r="D23" i="12" s="1"/>
  <c r="IO39" i="11"/>
  <c r="F23" i="12" s="1"/>
  <c r="IM43" i="11"/>
  <c r="D25" i="12" s="1"/>
  <c r="IN45" i="11"/>
  <c r="E26" i="12" s="1"/>
  <c r="IP49" i="11"/>
  <c r="G28" i="12" s="1"/>
  <c r="IQ15" i="11"/>
  <c r="IL17" i="11"/>
  <c r="C12" i="12" s="1"/>
  <c r="IP17" i="11"/>
  <c r="G12" i="12" s="1"/>
  <c r="IL33" i="11"/>
  <c r="C20" i="12" s="1"/>
  <c r="IO35" i="11"/>
  <c r="F21" i="12" s="1"/>
  <c r="IO67" i="11"/>
  <c r="F37" i="12" s="1"/>
  <c r="IM71" i="11"/>
  <c r="D39" i="12" s="1"/>
  <c r="Z26" i="15"/>
  <c r="IN9" i="11"/>
  <c r="E8" i="12" s="1"/>
  <c r="IL15" i="11"/>
  <c r="C11" i="12" s="1"/>
  <c r="IP15" i="11"/>
  <c r="G11" i="12" s="1"/>
  <c r="IO25" i="11"/>
  <c r="F16" i="12" s="1"/>
  <c r="IQ25" i="11"/>
  <c r="IM37" i="11"/>
  <c r="D22" i="12" s="1"/>
  <c r="IN39" i="11"/>
  <c r="E23" i="12" s="1"/>
  <c r="IL47" i="11"/>
  <c r="C27" i="12" s="1"/>
  <c r="IO49" i="11"/>
  <c r="F28" i="12" s="1"/>
  <c r="IL55" i="11"/>
  <c r="C31" i="12" s="1"/>
  <c r="IN53" i="11"/>
  <c r="E30" i="12" s="1"/>
  <c r="Z9" i="15"/>
  <c r="T32" i="15"/>
  <c r="U16" i="15" s="1"/>
  <c r="Z6" i="15"/>
  <c r="IO15" i="11"/>
  <c r="F11" i="12" s="1"/>
  <c r="IM27" i="11"/>
  <c r="D17" i="12" s="1"/>
  <c r="IQ27" i="11"/>
  <c r="IL29" i="11"/>
  <c r="C18" i="12" s="1"/>
  <c r="IP29" i="11"/>
  <c r="G18" i="12" s="1"/>
  <c r="IN29" i="11"/>
  <c r="E18" i="12" s="1"/>
  <c r="IQ35" i="11"/>
  <c r="IN41" i="11"/>
  <c r="E24" i="12" s="1"/>
  <c r="IQ43" i="11"/>
  <c r="IO43" i="11"/>
  <c r="F25" i="12" s="1"/>
  <c r="IO45" i="11"/>
  <c r="F26" i="12" s="1"/>
  <c r="IM57" i="11"/>
  <c r="D32" i="12" s="1"/>
  <c r="IO57" i="11"/>
  <c r="F32" i="12" s="1"/>
  <c r="IP59" i="11"/>
  <c r="G33" i="12" s="1"/>
  <c r="IQ65" i="11"/>
  <c r="IL67" i="11"/>
  <c r="C37" i="12" s="1"/>
  <c r="IO69" i="11"/>
  <c r="F38" i="12" s="1"/>
  <c r="IO41" i="11"/>
  <c r="F24" i="12" s="1"/>
  <c r="IM51" i="11"/>
  <c r="D29" i="12" s="1"/>
  <c r="IP53" i="11"/>
  <c r="G30" i="12" s="1"/>
  <c r="IO55" i="11"/>
  <c r="F31" i="12" s="1"/>
  <c r="IQ59" i="11"/>
  <c r="IL61" i="11"/>
  <c r="C34" i="12" s="1"/>
  <c r="IN61" i="11"/>
  <c r="E34" i="12" s="1"/>
  <c r="IO63" i="11"/>
  <c r="F35" i="12" s="1"/>
  <c r="Z21" i="15"/>
  <c r="Z22" i="15"/>
  <c r="Z29" i="15"/>
  <c r="Z30" i="15"/>
  <c r="IN5" i="11"/>
  <c r="E6" i="12" s="1"/>
  <c r="IM7" i="11"/>
  <c r="D7" i="12" s="1"/>
  <c r="IQ7" i="11"/>
  <c r="IL9" i="11"/>
  <c r="C8" i="12" s="1"/>
  <c r="IP9" i="11"/>
  <c r="G8" i="12" s="1"/>
  <c r="J8" i="12" s="1"/>
  <c r="IO11" i="11"/>
  <c r="F9" i="12" s="1"/>
  <c r="IM17" i="11"/>
  <c r="D12" i="12" s="1"/>
  <c r="IQ17" i="11"/>
  <c r="IL19" i="11"/>
  <c r="C13" i="12" s="1"/>
  <c r="IO21" i="11"/>
  <c r="F14" i="12" s="1"/>
  <c r="IN23" i="11"/>
  <c r="E15" i="12" s="1"/>
  <c r="IM33" i="11"/>
  <c r="D20" i="12" s="1"/>
  <c r="IL35" i="11"/>
  <c r="C21" i="12" s="1"/>
  <c r="IP35" i="11"/>
  <c r="G21" i="12" s="1"/>
  <c r="Z10" i="15"/>
  <c r="Z13" i="15"/>
  <c r="Z14" i="15"/>
  <c r="IL3" i="11"/>
  <c r="C5" i="12" s="1"/>
  <c r="IM3" i="11"/>
  <c r="D5" i="12" s="1"/>
  <c r="IQ3" i="11"/>
  <c r="IL5" i="11"/>
  <c r="C6" i="12" s="1"/>
  <c r="IO7" i="11"/>
  <c r="F7" i="12" s="1"/>
  <c r="IL11" i="11"/>
  <c r="C9" i="12" s="1"/>
  <c r="IN13" i="11"/>
  <c r="E10" i="12" s="1"/>
  <c r="IN15" i="11"/>
  <c r="E11" i="12" s="1"/>
  <c r="IN19" i="11"/>
  <c r="E13" i="12" s="1"/>
  <c r="IM21" i="11"/>
  <c r="D14" i="12" s="1"/>
  <c r="IQ21" i="11"/>
  <c r="IL23" i="11"/>
  <c r="C15" i="12" s="1"/>
  <c r="I15" i="12" s="1"/>
  <c r="IP23" i="11"/>
  <c r="G15" i="12" s="1"/>
  <c r="IN25" i="11"/>
  <c r="E16" i="12" s="1"/>
  <c r="IP25" i="11"/>
  <c r="G16" i="12" s="1"/>
  <c r="IP27" i="11"/>
  <c r="G17" i="12" s="1"/>
  <c r="IQ29" i="11"/>
  <c r="IL31" i="11"/>
  <c r="C19" i="12" s="1"/>
  <c r="IP31" i="11"/>
  <c r="G19" i="12" s="1"/>
  <c r="IN35" i="11"/>
  <c r="E21" i="12" s="1"/>
  <c r="IL37" i="11"/>
  <c r="C22" i="12" s="1"/>
  <c r="IM47" i="11"/>
  <c r="D27" i="12" s="1"/>
  <c r="IO51" i="11"/>
  <c r="F29" i="12" s="1"/>
  <c r="IN59" i="11"/>
  <c r="E33" i="12" s="1"/>
  <c r="IQ5" i="11"/>
  <c r="IP33" i="11"/>
  <c r="G20" i="12" s="1"/>
  <c r="IP47" i="11"/>
  <c r="G27" i="12" s="1"/>
  <c r="Z28" i="15"/>
  <c r="IP13" i="11"/>
  <c r="G10" i="12" s="1"/>
  <c r="IO47" i="11"/>
  <c r="F27" i="12" s="1"/>
  <c r="IN49" i="11"/>
  <c r="E28" i="12" s="1"/>
  <c r="IN55" i="11"/>
  <c r="E31" i="12" s="1"/>
  <c r="IM61" i="11"/>
  <c r="D34" i="12" s="1"/>
  <c r="IQ61" i="11"/>
  <c r="IO61" i="11"/>
  <c r="F34" i="12" s="1"/>
  <c r="IP63" i="11"/>
  <c r="G35" i="12" s="1"/>
  <c r="IO65" i="11"/>
  <c r="F36" i="12" s="1"/>
  <c r="IM67" i="11"/>
  <c r="D37" i="12" s="1"/>
  <c r="IP69" i="11"/>
  <c r="G38" i="12" s="1"/>
  <c r="IN69" i="11"/>
  <c r="E38" i="12" s="1"/>
  <c r="Z5" i="15"/>
  <c r="Z12" i="15"/>
  <c r="Z20" i="15"/>
  <c r="IP3" i="11"/>
  <c r="G5" i="12" s="1"/>
  <c r="IN7" i="11"/>
  <c r="E7" i="12" s="1"/>
  <c r="I7" i="12" s="1"/>
  <c r="IO9" i="11"/>
  <c r="F8" i="12" s="1"/>
  <c r="IQ11" i="11"/>
  <c r="IQ13" i="11"/>
  <c r="IM15" i="11"/>
  <c r="D11" i="12" s="1"/>
  <c r="H11" i="12" s="1"/>
  <c r="IM19" i="11"/>
  <c r="D13" i="12" s="1"/>
  <c r="IQ19" i="11"/>
  <c r="IL21" i="11"/>
  <c r="C14" i="12" s="1"/>
  <c r="J14" i="12" s="1"/>
  <c r="IP21" i="11"/>
  <c r="G14" i="12" s="1"/>
  <c r="IM23" i="11"/>
  <c r="D15" i="12" s="1"/>
  <c r="IO27" i="11"/>
  <c r="F17" i="12" s="1"/>
  <c r="IO31" i="11"/>
  <c r="F19" i="12" s="1"/>
  <c r="IM35" i="11"/>
  <c r="D21" i="12" s="1"/>
  <c r="IO37" i="11"/>
  <c r="F22" i="12" s="1"/>
  <c r="IP39" i="11"/>
  <c r="G23" i="12" s="1"/>
  <c r="IL41" i="11"/>
  <c r="C24" i="12" s="1"/>
  <c r="IP41" i="11"/>
  <c r="G24" i="12" s="1"/>
  <c r="IQ49" i="11"/>
  <c r="IL51" i="11"/>
  <c r="C29" i="12" s="1"/>
  <c r="IQ55" i="11"/>
  <c r="IL57" i="11"/>
  <c r="C32" i="12" s="1"/>
  <c r="IP57" i="11"/>
  <c r="G32" i="12" s="1"/>
  <c r="IO59" i="11"/>
  <c r="F33" i="12" s="1"/>
  <c r="IL65" i="11"/>
  <c r="C36" i="12" s="1"/>
  <c r="IP65" i="11"/>
  <c r="G36" i="12" s="1"/>
  <c r="IN65" i="11"/>
  <c r="E36" i="12" s="1"/>
  <c r="IM69" i="11"/>
  <c r="D38" i="12" s="1"/>
  <c r="IQ69" i="11"/>
  <c r="IL71" i="11"/>
  <c r="C39" i="12" s="1"/>
  <c r="IN71" i="11"/>
  <c r="E39" i="12" s="1"/>
  <c r="Z17" i="15"/>
  <c r="Z25" i="15"/>
  <c r="I11" i="12"/>
  <c r="J15" i="12"/>
  <c r="IM11" i="11"/>
  <c r="D9" i="12" s="1"/>
  <c r="IO13" i="11"/>
  <c r="F10" i="12" s="1"/>
  <c r="IM25" i="11"/>
  <c r="D16" i="12" s="1"/>
  <c r="IN31" i="11"/>
  <c r="E19" i="12" s="1"/>
  <c r="IQ37" i="11"/>
  <c r="IL39" i="11"/>
  <c r="C23" i="12" s="1"/>
  <c r="IL45" i="11"/>
  <c r="C26" i="12" s="1"/>
  <c r="IM59" i="11"/>
  <c r="D33" i="12" s="1"/>
  <c r="J11" i="12"/>
  <c r="Z11" i="15"/>
  <c r="IM29" i="11"/>
  <c r="D18" i="12" s="1"/>
  <c r="J18" i="12" s="1"/>
  <c r="IL43" i="11"/>
  <c r="C25" i="12" s="1"/>
  <c r="IN33" i="11"/>
  <c r="E20" i="12" s="1"/>
  <c r="IP45" i="11"/>
  <c r="G26" i="12" s="1"/>
  <c r="IN47" i="11"/>
  <c r="E27" i="12" s="1"/>
  <c r="IN57" i="11"/>
  <c r="E32" i="12" s="1"/>
  <c r="Z24" i="15"/>
  <c r="Z27" i="15"/>
  <c r="IL13" i="11"/>
  <c r="C10" i="12" s="1"/>
  <c r="IL27" i="11"/>
  <c r="C17" i="12" s="1"/>
  <c r="IO29" i="11"/>
  <c r="F18" i="12" s="1"/>
  <c r="IO33" i="11"/>
  <c r="F20" i="12" s="1"/>
  <c r="IQ39" i="11"/>
  <c r="IN43" i="11"/>
  <c r="E25" i="12" s="1"/>
  <c r="IQ45" i="11"/>
  <c r="IP51" i="11"/>
  <c r="G29" i="12" s="1"/>
  <c r="IM53" i="11"/>
  <c r="D30" i="12" s="1"/>
  <c r="IN67" i="11"/>
  <c r="E37" i="12" s="1"/>
  <c r="Z8" i="15"/>
  <c r="K32" i="15"/>
  <c r="K33" i="15" s="1"/>
  <c r="IO5" i="11"/>
  <c r="F6" i="12" s="1"/>
  <c r="IO19" i="11"/>
  <c r="F13" i="12" s="1"/>
  <c r="IP5" i="11"/>
  <c r="G6" i="12" s="1"/>
  <c r="IP19" i="11"/>
  <c r="G13" i="12" s="1"/>
  <c r="IM13" i="11"/>
  <c r="D10" i="12" s="1"/>
  <c r="IN17" i="11"/>
  <c r="E12" i="12" s="1"/>
  <c r="IM41" i="11"/>
  <c r="D24" i="12" s="1"/>
  <c r="IL49" i="11"/>
  <c r="C28" i="12" s="1"/>
  <c r="IQ51" i="11"/>
  <c r="IP61" i="11"/>
  <c r="G34" i="12" s="1"/>
  <c r="I34" i="12" s="1"/>
  <c r="D34" i="13" s="1"/>
  <c r="IM63" i="11"/>
  <c r="D35" i="12" s="1"/>
  <c r="IQ67" i="11"/>
  <c r="IQ71" i="11"/>
  <c r="IN3" i="11"/>
  <c r="E5" i="12" s="1"/>
  <c r="I5" i="12" s="1"/>
  <c r="IO3" i="11"/>
  <c r="F5" i="12" s="1"/>
  <c r="IQ9" i="11"/>
  <c r="IO17" i="11"/>
  <c r="F12" i="12" s="1"/>
  <c r="IQ23" i="11"/>
  <c r="IN27" i="11"/>
  <c r="E17" i="12" s="1"/>
  <c r="IM31" i="11"/>
  <c r="D19" i="12" s="1"/>
  <c r="IQ33" i="11"/>
  <c r="IP37" i="11"/>
  <c r="G22" i="12" s="1"/>
  <c r="J22" i="12" s="1"/>
  <c r="IQ47" i="11"/>
  <c r="IM49" i="11"/>
  <c r="D28" i="12" s="1"/>
  <c r="IO53" i="11"/>
  <c r="F30" i="12" s="1"/>
  <c r="IN63" i="11"/>
  <c r="E35" i="12" s="1"/>
  <c r="H15" i="12"/>
  <c r="Z16" i="15"/>
  <c r="IL53" i="11"/>
  <c r="C30" i="12" s="1"/>
  <c r="IP55" i="11"/>
  <c r="G31" i="12" s="1"/>
  <c r="IL63" i="11"/>
  <c r="C35" i="12" s="1"/>
  <c r="Z15" i="15"/>
  <c r="Z31" i="15"/>
  <c r="Z7" i="15"/>
  <c r="Z23" i="15"/>
  <c r="IN51" i="11"/>
  <c r="E29" i="12" s="1"/>
  <c r="IQ53" i="11"/>
  <c r="IM55" i="11"/>
  <c r="D31" i="12" s="1"/>
  <c r="IQ63" i="11"/>
  <c r="IM65" i="11"/>
  <c r="D36" i="12" s="1"/>
  <c r="IP67" i="11"/>
  <c r="G37" i="12" s="1"/>
  <c r="IO71" i="11"/>
  <c r="F39" i="12" s="1"/>
  <c r="N32" i="15"/>
  <c r="N33" i="15" s="1"/>
  <c r="M32" i="15"/>
  <c r="M33" i="15" s="1"/>
  <c r="E32" i="15"/>
  <c r="E33" i="15" s="1"/>
  <c r="L32" i="15"/>
  <c r="L33" i="15" s="1"/>
  <c r="Z4" i="15"/>
  <c r="Z32" i="15" s="1"/>
  <c r="S32" i="15"/>
  <c r="S33" i="15" s="1"/>
  <c r="R32" i="15"/>
  <c r="R33" i="15" s="1"/>
  <c r="J32" i="15"/>
  <c r="J33" i="15" s="1"/>
  <c r="Q32" i="15"/>
  <c r="Q33" i="15" s="1"/>
  <c r="P32" i="15"/>
  <c r="P33" i="15" s="1"/>
  <c r="O32" i="15"/>
  <c r="O33" i="15" s="1"/>
  <c r="G32" i="15"/>
  <c r="G33" i="15" s="1"/>
  <c r="H32" i="15"/>
  <c r="H33" i="15" s="1"/>
  <c r="F32" i="15"/>
  <c r="F33" i="15" s="1"/>
  <c r="IM45" i="11"/>
  <c r="D26" i="12" s="1"/>
  <c r="J26" i="12" s="1"/>
  <c r="E26" i="13" s="1"/>
  <c r="IQ57" i="11"/>
  <c r="IL59" i="11"/>
  <c r="C33" i="12" s="1"/>
  <c r="IL69" i="11"/>
  <c r="C38" i="12" s="1"/>
  <c r="J38" i="12" s="1"/>
  <c r="E38" i="13" s="1"/>
  <c r="IP71" i="11"/>
  <c r="G39" i="12" s="1"/>
  <c r="Z19" i="15"/>
  <c r="I32" i="15"/>
  <c r="I33" i="15" s="1"/>
  <c r="H37" i="12" l="1"/>
  <c r="J29" i="12"/>
  <c r="E29" i="13" s="1"/>
  <c r="J19" i="12"/>
  <c r="J36" i="12"/>
  <c r="E36" i="13" s="1"/>
  <c r="J24" i="12"/>
  <c r="E24" i="13" s="1"/>
  <c r="H21" i="12"/>
  <c r="J17" i="12"/>
  <c r="Q15" i="30" s="1"/>
  <c r="J13" i="12"/>
  <c r="E13" i="13" s="1"/>
  <c r="J16" i="12"/>
  <c r="J6" i="12"/>
  <c r="E6" i="13" s="1"/>
  <c r="J9" i="12"/>
  <c r="E9" i="13" s="1"/>
  <c r="I27" i="12"/>
  <c r="D27" i="13" s="1"/>
  <c r="H8" i="12"/>
  <c r="J39" i="12"/>
  <c r="E39" i="13" s="1"/>
  <c r="I18" i="12"/>
  <c r="D18" i="13" s="1"/>
  <c r="F18" i="13" s="1"/>
  <c r="I20" i="12"/>
  <c r="D20" i="13" s="1"/>
  <c r="J7" i="12"/>
  <c r="H7" i="12"/>
  <c r="I14" i="12"/>
  <c r="I32" i="12"/>
  <c r="D32" i="13" s="1"/>
  <c r="H32" i="12"/>
  <c r="U20" i="15"/>
  <c r="U26" i="15"/>
  <c r="E18" i="13"/>
  <c r="Q16" i="30"/>
  <c r="E16" i="13"/>
  <c r="Q14" i="30"/>
  <c r="H14" i="12"/>
  <c r="E7" i="13"/>
  <c r="Q5" i="30"/>
  <c r="I21" i="12"/>
  <c r="E22" i="13"/>
  <c r="Q20" i="30"/>
  <c r="D5" i="13"/>
  <c r="P3" i="30"/>
  <c r="Q22" i="30"/>
  <c r="D11" i="13"/>
  <c r="P9" i="30"/>
  <c r="E14" i="13"/>
  <c r="Q12" i="30"/>
  <c r="H39" i="12"/>
  <c r="D14" i="13"/>
  <c r="P12" i="30"/>
  <c r="D7" i="13"/>
  <c r="F7" i="13" s="1"/>
  <c r="P5" i="30"/>
  <c r="D15" i="13"/>
  <c r="P13" i="30"/>
  <c r="H12" i="12"/>
  <c r="E11" i="13"/>
  <c r="Q9" i="30"/>
  <c r="Q7" i="30"/>
  <c r="D8" i="13"/>
  <c r="P6" i="30"/>
  <c r="E8" i="13"/>
  <c r="Q6" i="30"/>
  <c r="E17" i="13"/>
  <c r="E19" i="13"/>
  <c r="Q17" i="30"/>
  <c r="E15" i="13"/>
  <c r="Q13" i="30"/>
  <c r="H29" i="12"/>
  <c r="J31" i="12"/>
  <c r="E31" i="13" s="1"/>
  <c r="J10" i="12"/>
  <c r="H6" i="12"/>
  <c r="I37" i="12"/>
  <c r="D37" i="13" s="1"/>
  <c r="J32" i="12"/>
  <c r="E32" i="13" s="1"/>
  <c r="J33" i="12"/>
  <c r="E33" i="13" s="1"/>
  <c r="H27" i="12"/>
  <c r="J12" i="12"/>
  <c r="J27" i="12"/>
  <c r="E27" i="13" s="1"/>
  <c r="I12" i="12"/>
  <c r="J21" i="12"/>
  <c r="J20" i="12"/>
  <c r="I22" i="12"/>
  <c r="H20" i="12"/>
  <c r="H13" i="12"/>
  <c r="I24" i="12"/>
  <c r="F11" i="13"/>
  <c r="I39" i="12"/>
  <c r="D39" i="13" s="1"/>
  <c r="F39" i="13" s="1"/>
  <c r="U30" i="15"/>
  <c r="U21" i="15"/>
  <c r="U5" i="15"/>
  <c r="U9" i="15"/>
  <c r="U25" i="15"/>
  <c r="U17" i="15"/>
  <c r="U13" i="15"/>
  <c r="U29" i="15"/>
  <c r="U12" i="15"/>
  <c r="AA31" i="15"/>
  <c r="AB31" i="15" s="1"/>
  <c r="AA16" i="15"/>
  <c r="AB16" i="15" s="1"/>
  <c r="H18" i="12"/>
  <c r="U24" i="15"/>
  <c r="I29" i="12"/>
  <c r="D29" i="13" s="1"/>
  <c r="F29" i="13" s="1"/>
  <c r="H5" i="12"/>
  <c r="H22" i="12"/>
  <c r="H25" i="12"/>
  <c r="I25" i="12"/>
  <c r="D25" i="13" s="1"/>
  <c r="AA19" i="15"/>
  <c r="AB19" i="15" s="1"/>
  <c r="U28" i="15"/>
  <c r="U10" i="15"/>
  <c r="U14" i="15"/>
  <c r="H24" i="12"/>
  <c r="U7" i="15"/>
  <c r="U8" i="15"/>
  <c r="J30" i="12"/>
  <c r="E30" i="13" s="1"/>
  <c r="I10" i="12"/>
  <c r="H10" i="12"/>
  <c r="I23" i="12"/>
  <c r="H23" i="12"/>
  <c r="I16" i="12"/>
  <c r="J23" i="12"/>
  <c r="H34" i="12"/>
  <c r="F32" i="13"/>
  <c r="U19" i="15"/>
  <c r="U15" i="15"/>
  <c r="H19" i="12"/>
  <c r="U22" i="15"/>
  <c r="H17" i="12"/>
  <c r="I17" i="12"/>
  <c r="I31" i="12"/>
  <c r="D31" i="13" s="1"/>
  <c r="J34" i="12"/>
  <c r="E34" i="13" s="1"/>
  <c r="F34" i="13" s="1"/>
  <c r="I19" i="12"/>
  <c r="I38" i="12"/>
  <c r="D38" i="13" s="1"/>
  <c r="F38" i="13" s="1"/>
  <c r="H38" i="12"/>
  <c r="U6" i="15"/>
  <c r="AA15" i="15"/>
  <c r="AB15" i="15" s="1"/>
  <c r="AA4" i="15"/>
  <c r="AA7" i="15"/>
  <c r="AB7" i="15" s="1"/>
  <c r="I30" i="12"/>
  <c r="D30" i="13" s="1"/>
  <c r="H30" i="12"/>
  <c r="J28" i="12"/>
  <c r="E28" i="13" s="1"/>
  <c r="AA8" i="15"/>
  <c r="AB8" i="15" s="1"/>
  <c r="U27" i="15"/>
  <c r="I36" i="12"/>
  <c r="D36" i="13" s="1"/>
  <c r="H16" i="12"/>
  <c r="I13" i="12"/>
  <c r="I6" i="12"/>
  <c r="J37" i="12"/>
  <c r="E37" i="13" s="1"/>
  <c r="I9" i="12"/>
  <c r="J25" i="12"/>
  <c r="E25" i="13" s="1"/>
  <c r="H28" i="12"/>
  <c r="I28" i="12"/>
  <c r="D28" i="13" s="1"/>
  <c r="J5" i="12"/>
  <c r="U23" i="15"/>
  <c r="U11" i="15"/>
  <c r="H31" i="12"/>
  <c r="U4" i="15"/>
  <c r="I35" i="12"/>
  <c r="D35" i="13" s="1"/>
  <c r="H35" i="12"/>
  <c r="I26" i="12"/>
  <c r="D26" i="13" s="1"/>
  <c r="F26" i="13" s="1"/>
  <c r="H26" i="12"/>
  <c r="H33" i="12"/>
  <c r="I33" i="12"/>
  <c r="D33" i="13" s="1"/>
  <c r="U31" i="15"/>
  <c r="U18" i="15"/>
  <c r="J35" i="12"/>
  <c r="E35" i="13" s="1"/>
  <c r="H36" i="12"/>
  <c r="H9" i="12"/>
  <c r="P18" i="30" l="1"/>
  <c r="Q4" i="30"/>
  <c r="F31" i="13"/>
  <c r="Q11" i="30"/>
  <c r="F36" i="13"/>
  <c r="P16" i="30"/>
  <c r="F27" i="13"/>
  <c r="F8" i="13"/>
  <c r="U32" i="15"/>
  <c r="D13" i="13"/>
  <c r="F13" i="13" s="1"/>
  <c r="P11" i="30"/>
  <c r="D10" i="13"/>
  <c r="P8" i="30"/>
  <c r="D12" i="13"/>
  <c r="P10" i="30"/>
  <c r="D21" i="13"/>
  <c r="P19" i="30"/>
  <c r="E5" i="13"/>
  <c r="F5" i="13" s="1"/>
  <c r="Q3" i="30"/>
  <c r="D9" i="13"/>
  <c r="F9" i="13" s="1"/>
  <c r="P7" i="30"/>
  <c r="D17" i="13"/>
  <c r="F17" i="13" s="1"/>
  <c r="P15" i="30"/>
  <c r="D22" i="13"/>
  <c r="F22" i="13" s="1"/>
  <c r="P20" i="30"/>
  <c r="D19" i="13"/>
  <c r="F19" i="13" s="1"/>
  <c r="P17" i="30"/>
  <c r="D23" i="13"/>
  <c r="F23" i="13" s="1"/>
  <c r="P21" i="30"/>
  <c r="D24" i="13"/>
  <c r="F24" i="13" s="1"/>
  <c r="P22" i="30"/>
  <c r="E20" i="13"/>
  <c r="F20" i="13" s="1"/>
  <c r="Q18" i="30"/>
  <c r="E12" i="13"/>
  <c r="Q10" i="30"/>
  <c r="F15" i="13"/>
  <c r="F14" i="13"/>
  <c r="D16" i="13"/>
  <c r="F16" i="13" s="1"/>
  <c r="P14" i="30"/>
  <c r="E10" i="13"/>
  <c r="Q8" i="30"/>
  <c r="F33" i="13"/>
  <c r="D6" i="13"/>
  <c r="F6" i="13" s="1"/>
  <c r="P4" i="30"/>
  <c r="E23" i="13"/>
  <c r="Q21" i="30"/>
  <c r="E21" i="13"/>
  <c r="Q19" i="30"/>
  <c r="AA11" i="15"/>
  <c r="AB11" i="15" s="1"/>
  <c r="AA27" i="15"/>
  <c r="AB27" i="15" s="1"/>
  <c r="F30" i="13"/>
  <c r="AA23" i="15"/>
  <c r="AB23" i="15" s="1"/>
  <c r="F37" i="13"/>
  <c r="F35" i="13"/>
  <c r="F25" i="13"/>
  <c r="AA32" i="15"/>
  <c r="AB4" i="15"/>
  <c r="F28" i="13"/>
  <c r="AA5" i="15"/>
  <c r="AB5" i="15" s="1"/>
  <c r="AA10" i="15"/>
  <c r="AB10" i="15" s="1"/>
  <c r="AA12" i="15"/>
  <c r="AB12" i="15" s="1"/>
  <c r="AA6" i="15"/>
  <c r="AB6" i="15" s="1"/>
  <c r="AA18" i="15"/>
  <c r="AB18" i="15" s="1"/>
  <c r="AA13" i="15"/>
  <c r="AB13" i="15" s="1"/>
  <c r="AA28" i="15"/>
  <c r="AB28" i="15" s="1"/>
  <c r="AA20" i="15"/>
  <c r="AB20" i="15" s="1"/>
  <c r="AA14" i="15"/>
  <c r="AB14" i="15" s="1"/>
  <c r="AA21" i="15"/>
  <c r="AB21" i="15" s="1"/>
  <c r="AA9" i="15"/>
  <c r="AB9" i="15" s="1"/>
  <c r="AA26" i="15"/>
  <c r="AB26" i="15" s="1"/>
  <c r="AA29" i="15"/>
  <c r="AB29" i="15" s="1"/>
  <c r="AA17" i="15"/>
  <c r="AB17" i="15" s="1"/>
  <c r="AA30" i="15"/>
  <c r="AB30" i="15" s="1"/>
  <c r="AA25" i="15"/>
  <c r="AB25" i="15" s="1"/>
  <c r="AA22" i="15"/>
  <c r="AB22" i="15" s="1"/>
  <c r="AA24" i="15"/>
  <c r="AB24" i="15" s="1"/>
  <c r="F12" i="13" l="1"/>
  <c r="F21" i="13"/>
  <c r="F10" i="13"/>
  <c r="D17" i="7"/>
  <c r="E17" i="7"/>
  <c r="F17" i="7"/>
  <c r="G17" i="7"/>
  <c r="H17" i="7"/>
  <c r="D18" i="7"/>
  <c r="E18" i="7"/>
  <c r="F18" i="7"/>
  <c r="G18" i="7"/>
  <c r="H18" i="7"/>
  <c r="D19" i="7"/>
  <c r="E19" i="7"/>
  <c r="F19" i="7"/>
  <c r="G19" i="7"/>
  <c r="H19" i="7"/>
  <c r="D20" i="7"/>
  <c r="E20" i="7"/>
  <c r="F20" i="7"/>
  <c r="G20" i="7"/>
  <c r="H20" i="7"/>
  <c r="C18" i="7"/>
  <c r="C19" i="7"/>
  <c r="C20" i="7"/>
  <c r="C17" i="7"/>
  <c r="E16" i="7" l="1"/>
  <c r="F16" i="7"/>
  <c r="G16" i="7"/>
  <c r="H16" i="7"/>
  <c r="C16" i="7"/>
  <c r="D16" i="7"/>
  <c r="D20" i="5" l="1"/>
  <c r="D4" i="24" s="1"/>
  <c r="D1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G4" authorId="0" shapeId="0" xr:uid="{00000000-0006-0000-0700-000001000000}">
      <text>
        <r>
          <rPr>
            <b/>
            <sz val="9"/>
            <color indexed="81"/>
            <rFont val="돋움"/>
            <family val="3"/>
            <charset val="129"/>
          </rPr>
          <t>가중치옮기기는</t>
        </r>
        <r>
          <rPr>
            <b/>
            <sz val="9"/>
            <color indexed="81"/>
            <rFont val="Tahoma"/>
            <family val="2"/>
          </rPr>
          <t xml:space="preserve"> QFD</t>
        </r>
        <r>
          <rPr>
            <b/>
            <sz val="9"/>
            <color indexed="81"/>
            <rFont val="돋움"/>
            <family val="3"/>
            <charset val="129"/>
          </rPr>
          <t>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가중치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항목으로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위한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것입니다</t>
        </r>
        <r>
          <rPr>
            <b/>
            <sz val="9"/>
            <color indexed="81"/>
            <rFont val="Tahoma"/>
            <family val="2"/>
          </rPr>
          <t>.
(</t>
        </r>
        <r>
          <rPr>
            <b/>
            <sz val="9"/>
            <color indexed="81"/>
            <rFont val="돋움"/>
            <family val="3"/>
            <charset val="129"/>
          </rPr>
          <t>가중치값을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값만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선택하면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됩니다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V4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10</t>
        </r>
        <r>
          <rPr>
            <b/>
            <sz val="9"/>
            <color indexed="81"/>
            <rFont val="돋움"/>
            <family val="3"/>
            <charset val="129"/>
          </rPr>
          <t>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</text>
    </comment>
  </commentList>
</comments>
</file>

<file path=xl/sharedStrings.xml><?xml version="1.0" encoding="utf-8"?>
<sst xmlns="http://schemas.openxmlformats.org/spreadsheetml/2006/main" count="489" uniqueCount="205">
  <si>
    <t>구분</t>
    <phoneticPr fontId="6" type="noConversion"/>
  </si>
  <si>
    <t>매출처</t>
    <phoneticPr fontId="6" type="noConversion"/>
  </si>
  <si>
    <t>매출액</t>
    <phoneticPr fontId="6" type="noConversion"/>
  </si>
  <si>
    <t>경쟁사명</t>
    <phoneticPr fontId="6" type="noConversion"/>
  </si>
  <si>
    <t>목표매출액</t>
    <phoneticPr fontId="6" type="noConversion"/>
  </si>
  <si>
    <t>제품명</t>
    <phoneticPr fontId="6" type="noConversion"/>
  </si>
  <si>
    <t>고객명</t>
    <phoneticPr fontId="6" type="noConversion"/>
  </si>
  <si>
    <t>세분시장</t>
    <phoneticPr fontId="6" type="noConversion"/>
  </si>
  <si>
    <t>고객 니즈</t>
    <phoneticPr fontId="6" type="noConversion"/>
  </si>
  <si>
    <t>제품속성</t>
    <phoneticPr fontId="6" type="noConversion"/>
  </si>
  <si>
    <t>기술 역량</t>
    <phoneticPr fontId="6" type="noConversion"/>
  </si>
  <si>
    <t>속성</t>
    <phoneticPr fontId="6" type="noConversion"/>
  </si>
  <si>
    <t>시장 A</t>
  </si>
  <si>
    <t>시장 B</t>
  </si>
  <si>
    <t>시장 C</t>
  </si>
  <si>
    <t>세분화1</t>
  </si>
  <si>
    <t>세분화2</t>
  </si>
  <si>
    <t>속성1</t>
  </si>
  <si>
    <t>속성2</t>
  </si>
  <si>
    <t>속성3</t>
  </si>
  <si>
    <t>속성4</t>
  </si>
  <si>
    <t>속성5</t>
  </si>
  <si>
    <t>속성6</t>
    <phoneticPr fontId="6" type="noConversion"/>
  </si>
  <si>
    <t>속성7</t>
    <phoneticPr fontId="6" type="noConversion"/>
  </si>
  <si>
    <t>속성8</t>
    <phoneticPr fontId="6" type="noConversion"/>
  </si>
  <si>
    <t>속성9</t>
    <phoneticPr fontId="6" type="noConversion"/>
  </si>
  <si>
    <t>속성10</t>
    <phoneticPr fontId="6" type="noConversion"/>
  </si>
  <si>
    <t>우선순위</t>
    <phoneticPr fontId="6" type="noConversion"/>
  </si>
  <si>
    <t>H</t>
    <phoneticPr fontId="6" type="noConversion"/>
  </si>
  <si>
    <t>M</t>
    <phoneticPr fontId="6" type="noConversion"/>
  </si>
  <si>
    <t>L</t>
    <phoneticPr fontId="6" type="noConversion"/>
  </si>
  <si>
    <t>L*</t>
    <phoneticPr fontId="6" type="noConversion"/>
  </si>
  <si>
    <t>제품속성서</t>
    <phoneticPr fontId="6" type="noConversion"/>
  </si>
  <si>
    <t>고객요구사항 도출표</t>
    <phoneticPr fontId="6" type="noConversion"/>
  </si>
  <si>
    <t>번호</t>
    <phoneticPr fontId="6" type="noConversion"/>
  </si>
  <si>
    <t>항목(검정색 글씨)</t>
    <phoneticPr fontId="6" type="noConversion"/>
  </si>
  <si>
    <t>1차 그룹(빨간색 글씨)</t>
    <phoneticPr fontId="6" type="noConversion"/>
  </si>
  <si>
    <t>2차 그룹(파란색 글씨)</t>
    <phoneticPr fontId="6" type="noConversion"/>
  </si>
  <si>
    <t>제품컨셉</t>
    <phoneticPr fontId="6" type="noConversion"/>
  </si>
  <si>
    <t>(1)마음에 든다</t>
    <phoneticPr fontId="31" type="noConversion"/>
  </si>
  <si>
    <t>(2)당연하다</t>
    <phoneticPr fontId="31" type="noConversion"/>
  </si>
  <si>
    <t>(3)아무런 느낌이 없다</t>
    <phoneticPr fontId="31" type="noConversion"/>
  </si>
  <si>
    <t>(4)하는수 없다.</t>
    <phoneticPr fontId="31" type="noConversion"/>
  </si>
  <si>
    <t>(5)마음에 안든다</t>
    <phoneticPr fontId="31" type="noConversion"/>
  </si>
  <si>
    <t>매력적</t>
  </si>
  <si>
    <t>일원적</t>
  </si>
  <si>
    <t>당연적</t>
  </si>
  <si>
    <t>역(逆)</t>
  </si>
  <si>
    <t>무관심</t>
  </si>
  <si>
    <t>회의적</t>
  </si>
  <si>
    <t>(6)기타</t>
    <phoneticPr fontId="31" type="noConversion"/>
  </si>
  <si>
    <t>긍정적 질문</t>
    <phoneticPr fontId="6" type="noConversion"/>
  </si>
  <si>
    <t>부정적 질문</t>
    <phoneticPr fontId="6" type="noConversion"/>
  </si>
  <si>
    <t>긍정적 질문</t>
    <phoneticPr fontId="6" type="noConversion"/>
  </si>
  <si>
    <t>부정적 질문</t>
    <phoneticPr fontId="6" type="noConversion"/>
  </si>
  <si>
    <t>긍정적 질문</t>
    <phoneticPr fontId="6" type="noConversion"/>
  </si>
  <si>
    <t>긍정적 질문</t>
    <phoneticPr fontId="6" type="noConversion"/>
  </si>
  <si>
    <t>부정적 질문</t>
    <phoneticPr fontId="6" type="noConversion"/>
  </si>
  <si>
    <t>긍정적 질문</t>
    <phoneticPr fontId="6" type="noConversion"/>
  </si>
  <si>
    <t>부정적 질문</t>
    <phoneticPr fontId="6" type="noConversion"/>
  </si>
  <si>
    <t>긍정적 질문</t>
    <phoneticPr fontId="6" type="noConversion"/>
  </si>
  <si>
    <t>부정적 질문</t>
    <phoneticPr fontId="6" type="noConversion"/>
  </si>
  <si>
    <t>부정적 질문</t>
    <phoneticPr fontId="6" type="noConversion"/>
  </si>
  <si>
    <t>부정적 질문</t>
    <phoneticPr fontId="6" type="noConversion"/>
  </si>
  <si>
    <t>긍정적 질문</t>
    <phoneticPr fontId="6" type="noConversion"/>
  </si>
  <si>
    <t>부정적 질문</t>
    <phoneticPr fontId="6" type="noConversion"/>
  </si>
  <si>
    <t>긍정적 질문</t>
    <phoneticPr fontId="6" type="noConversion"/>
  </si>
  <si>
    <t>긍정적 질문</t>
    <phoneticPr fontId="6" type="noConversion"/>
  </si>
  <si>
    <t>부정적 질문</t>
    <phoneticPr fontId="6" type="noConversion"/>
  </si>
  <si>
    <t>긍정적 질문</t>
    <phoneticPr fontId="6" type="noConversion"/>
  </si>
  <si>
    <t>부정적 질문</t>
    <phoneticPr fontId="6" type="noConversion"/>
  </si>
  <si>
    <t>긍정적 질문</t>
    <phoneticPr fontId="6" type="noConversion"/>
  </si>
  <si>
    <t>부정적 질문</t>
    <phoneticPr fontId="6" type="noConversion"/>
  </si>
  <si>
    <t>긍정적 질문</t>
    <phoneticPr fontId="6" type="noConversion"/>
  </si>
  <si>
    <t>부정적 질문</t>
    <phoneticPr fontId="6" type="noConversion"/>
  </si>
  <si>
    <t>긍정적 질문</t>
    <phoneticPr fontId="6" type="noConversion"/>
  </si>
  <si>
    <t>부정적 질문</t>
    <phoneticPr fontId="6" type="noConversion"/>
  </si>
  <si>
    <t>KANO분석 집계표</t>
    <phoneticPr fontId="31" type="noConversion"/>
  </si>
  <si>
    <t>번호</t>
    <phoneticPr fontId="31" type="noConversion"/>
  </si>
  <si>
    <t>설문항목</t>
    <phoneticPr fontId="31" type="noConversion"/>
  </si>
  <si>
    <t>매력적</t>
    <phoneticPr fontId="31" type="noConversion"/>
  </si>
  <si>
    <t>일원적</t>
    <phoneticPr fontId="31" type="noConversion"/>
  </si>
  <si>
    <t>당연적</t>
    <phoneticPr fontId="31" type="noConversion"/>
  </si>
  <si>
    <t>역(逆)</t>
    <phoneticPr fontId="31" type="noConversion"/>
  </si>
  <si>
    <t>무관심</t>
    <phoneticPr fontId="31" type="noConversion"/>
  </si>
  <si>
    <t>합계</t>
    <phoneticPr fontId="31" type="noConversion"/>
  </si>
  <si>
    <t>만족계수</t>
    <phoneticPr fontId="31" type="noConversion"/>
  </si>
  <si>
    <t>불만족계수</t>
    <phoneticPr fontId="31" type="noConversion"/>
  </si>
  <si>
    <t>Timko 만족/불만족 계수</t>
    <phoneticPr fontId="6" type="noConversion"/>
  </si>
  <si>
    <t>만족계수</t>
  </si>
  <si>
    <t>불만족계수</t>
  </si>
  <si>
    <t>가중치</t>
    <phoneticPr fontId="6" type="noConversion"/>
  </si>
  <si>
    <t>가중치 옮기기</t>
    <phoneticPr fontId="6" type="noConversion"/>
  </si>
  <si>
    <t>고객요구사항</t>
    <phoneticPr fontId="31" type="noConversion"/>
  </si>
  <si>
    <t>비교
대상</t>
    <phoneticPr fontId="31" type="noConversion"/>
  </si>
  <si>
    <t>중요도</t>
    <phoneticPr fontId="31" type="noConversion"/>
  </si>
  <si>
    <t>경쟁사
비교</t>
    <phoneticPr fontId="31" type="noConversion"/>
  </si>
  <si>
    <t>기획품질</t>
  </si>
  <si>
    <t>수준향상율</t>
  </si>
  <si>
    <t>절대적 중요성</t>
    <phoneticPr fontId="31" type="noConversion"/>
  </si>
  <si>
    <t>요구품질중요성(%)</t>
    <phoneticPr fontId="31" type="noConversion"/>
  </si>
  <si>
    <t>RANK</t>
    <phoneticPr fontId="31" type="noConversion"/>
  </si>
  <si>
    <t>2차 그룹(파란색 글씨)</t>
    <phoneticPr fontId="6" type="noConversion"/>
  </si>
  <si>
    <t>1차 그룹(빨간색 글씨)</t>
    <phoneticPr fontId="6" type="noConversion"/>
  </si>
  <si>
    <t>항목(검정색 글씨)</t>
    <phoneticPr fontId="6" type="noConversion"/>
  </si>
  <si>
    <t>가중치</t>
    <phoneticPr fontId="31" type="noConversion"/>
  </si>
  <si>
    <t>가중치 백분율</t>
    <phoneticPr fontId="31" type="noConversion"/>
  </si>
  <si>
    <t>자사</t>
    <phoneticPr fontId="31" type="noConversion"/>
  </si>
  <si>
    <t>경쟁사C</t>
    <phoneticPr fontId="31" type="noConversion"/>
  </si>
  <si>
    <t>품질중요도</t>
    <phoneticPr fontId="31" type="noConversion"/>
  </si>
  <si>
    <t>Spec</t>
    <phoneticPr fontId="31" type="noConversion"/>
  </si>
  <si>
    <t>측정단위</t>
    <phoneticPr fontId="31" type="noConversion"/>
  </si>
  <si>
    <t>경쟁사 A</t>
    <phoneticPr fontId="31" type="noConversion"/>
  </si>
  <si>
    <t>설계 목표치</t>
    <phoneticPr fontId="31" type="noConversion"/>
  </si>
  <si>
    <t>필요 항목</t>
  </si>
  <si>
    <t>해결방안</t>
  </si>
  <si>
    <t>설비투자금</t>
    <phoneticPr fontId="6" type="noConversion"/>
  </si>
  <si>
    <t>항목</t>
    <phoneticPr fontId="6" type="noConversion"/>
  </si>
  <si>
    <t>구분</t>
    <phoneticPr fontId="6" type="noConversion"/>
  </si>
  <si>
    <t>합계</t>
    <phoneticPr fontId="6" type="noConversion"/>
  </si>
  <si>
    <t>최종 제품/서비스 제공 스펙 List</t>
    <phoneticPr fontId="6" type="noConversion"/>
  </si>
  <si>
    <t>스펙분류</t>
    <phoneticPr fontId="6" type="noConversion"/>
  </si>
  <si>
    <t>세부항목</t>
    <phoneticPr fontId="6" type="noConversion"/>
  </si>
  <si>
    <t>기술적 특성</t>
    <phoneticPr fontId="6" type="noConversion"/>
  </si>
  <si>
    <t>개선여부</t>
    <phoneticPr fontId="6" type="noConversion"/>
  </si>
  <si>
    <t>메출액</t>
    <phoneticPr fontId="6" type="noConversion"/>
  </si>
  <si>
    <t>매출액</t>
    <phoneticPr fontId="6" type="noConversion"/>
  </si>
  <si>
    <t>운영관리비</t>
    <phoneticPr fontId="6" type="noConversion"/>
  </si>
  <si>
    <t>소요자금</t>
    <phoneticPr fontId="6" type="noConversion"/>
  </si>
  <si>
    <t>소요자금 합계</t>
    <phoneticPr fontId="6" type="noConversion"/>
  </si>
  <si>
    <t>Y+1년차</t>
    <phoneticPr fontId="6" type="noConversion"/>
  </si>
  <si>
    <t>Y+2년차</t>
    <phoneticPr fontId="6" type="noConversion"/>
  </si>
  <si>
    <t>Y+3년차</t>
    <phoneticPr fontId="6" type="noConversion"/>
  </si>
  <si>
    <t>생산비용</t>
    <phoneticPr fontId="6" type="noConversion"/>
  </si>
  <si>
    <t xml:space="preserve">연구개발 및 기술이전 등 </t>
    <phoneticPr fontId="6" type="noConversion"/>
  </si>
  <si>
    <t>기타 등</t>
    <phoneticPr fontId="6" type="noConversion"/>
  </si>
  <si>
    <t>정부자금</t>
    <phoneticPr fontId="6" type="noConversion"/>
  </si>
  <si>
    <t>엔젤투자금</t>
    <phoneticPr fontId="6" type="noConversion"/>
  </si>
  <si>
    <t>R&amp;D 지원금</t>
    <phoneticPr fontId="6" type="noConversion"/>
  </si>
  <si>
    <t>TIPS</t>
    <phoneticPr fontId="6" type="noConversion"/>
  </si>
  <si>
    <t>VC</t>
    <phoneticPr fontId="6" type="noConversion"/>
  </si>
  <si>
    <t>기타</t>
    <phoneticPr fontId="6" type="noConversion"/>
  </si>
  <si>
    <t>출처</t>
    <phoneticPr fontId="6" type="noConversion"/>
  </si>
  <si>
    <t>금액</t>
    <phoneticPr fontId="6" type="noConversion"/>
  </si>
  <si>
    <t>Y+2년차</t>
    <phoneticPr fontId="6" type="noConversion"/>
  </si>
  <si>
    <t>Y+3년차</t>
    <phoneticPr fontId="6" type="noConversion"/>
  </si>
  <si>
    <t>핵심자산 도출표</t>
    <phoneticPr fontId="6" type="noConversion"/>
  </si>
  <si>
    <t>보완자산 도출표</t>
    <phoneticPr fontId="6" type="noConversion"/>
  </si>
  <si>
    <t>설문항목</t>
    <phoneticPr fontId="6" type="noConversion"/>
  </si>
  <si>
    <t>만족
계수</t>
    <phoneticPr fontId="6" type="noConversion"/>
  </si>
  <si>
    <t>불만족
계수</t>
    <phoneticPr fontId="6" type="noConversion"/>
  </si>
  <si>
    <t>품질</t>
    <phoneticPr fontId="6" type="noConversion"/>
  </si>
  <si>
    <t>가중치</t>
    <phoneticPr fontId="6" type="noConversion"/>
  </si>
  <si>
    <t>매력적품질</t>
    <phoneticPr fontId="6" type="noConversion"/>
  </si>
  <si>
    <t>당연적품질</t>
    <phoneticPr fontId="6" type="noConversion"/>
  </si>
  <si>
    <t>무관심</t>
    <phoneticPr fontId="6" type="noConversion"/>
  </si>
  <si>
    <t>일원적품질</t>
    <phoneticPr fontId="6" type="noConversion"/>
  </si>
  <si>
    <t>무관심품질</t>
    <phoneticPr fontId="6" type="noConversion"/>
  </si>
  <si>
    <t>당연</t>
    <phoneticPr fontId="6" type="noConversion"/>
  </si>
  <si>
    <t>(단위: 백만원)</t>
    <phoneticPr fontId="6" type="noConversion"/>
  </si>
  <si>
    <t>-1.0
   ~-0.91</t>
    <phoneticPr fontId="6" type="noConversion"/>
  </si>
  <si>
    <t>-0.9
   ~-0.81</t>
    <phoneticPr fontId="6" type="noConversion"/>
  </si>
  <si>
    <t>-0.8
   ~-0.71</t>
    <phoneticPr fontId="6" type="noConversion"/>
  </si>
  <si>
    <t>-0.7
   ~-0.61</t>
    <phoneticPr fontId="6" type="noConversion"/>
  </si>
  <si>
    <t>-0.6
   ~-0.50</t>
    <phoneticPr fontId="6" type="noConversion"/>
  </si>
  <si>
    <t>-0.49
   ~-0.41</t>
    <phoneticPr fontId="6" type="noConversion"/>
  </si>
  <si>
    <t>-0.4
   ~-0.31</t>
    <phoneticPr fontId="6" type="noConversion"/>
  </si>
  <si>
    <t>-0.3
   ~-0.21</t>
    <phoneticPr fontId="6" type="noConversion"/>
  </si>
  <si>
    <t>-0.2
   ~-0.11</t>
    <phoneticPr fontId="6" type="noConversion"/>
  </si>
  <si>
    <t>-0.1
     ~0.0</t>
    <phoneticPr fontId="6" type="noConversion"/>
  </si>
  <si>
    <t>1.0
    ~0.91</t>
    <phoneticPr fontId="6" type="noConversion"/>
  </si>
  <si>
    <t>0.9
    ~0.81</t>
    <phoneticPr fontId="6" type="noConversion"/>
  </si>
  <si>
    <t>0.8
    ~0.71</t>
    <phoneticPr fontId="6" type="noConversion"/>
  </si>
  <si>
    <t>0.7
    ~0.61</t>
    <phoneticPr fontId="6" type="noConversion"/>
  </si>
  <si>
    <t>0.6
    ~0.50</t>
    <phoneticPr fontId="6" type="noConversion"/>
  </si>
  <si>
    <t>0.49
    ~0.41</t>
    <phoneticPr fontId="6" type="noConversion"/>
  </si>
  <si>
    <t>0.4
    ~0.31</t>
    <phoneticPr fontId="6" type="noConversion"/>
  </si>
  <si>
    <t>0.3
    ~0.21</t>
    <phoneticPr fontId="6" type="noConversion"/>
  </si>
  <si>
    <t>0.2
    ~0.11</t>
    <phoneticPr fontId="6" type="noConversion"/>
  </si>
  <si>
    <t>0.1
     ~0.0</t>
    <phoneticPr fontId="6" type="noConversion"/>
  </si>
  <si>
    <t>(AS-IS) 스펙표</t>
    <phoneticPr fontId="6" type="noConversion"/>
  </si>
  <si>
    <t>핵심스펙(기능)</t>
    <phoneticPr fontId="6" type="noConversion"/>
  </si>
  <si>
    <t>세부스펙(기능)</t>
    <phoneticPr fontId="6" type="noConversion"/>
  </si>
  <si>
    <t>향후 1년후 목표 매출액</t>
    <phoneticPr fontId="6" type="noConversion"/>
  </si>
  <si>
    <t>제공혜택</t>
    <phoneticPr fontId="6" type="noConversion"/>
  </si>
  <si>
    <t>기술요구사항 도출</t>
    <phoneticPr fontId="6" type="noConversion"/>
  </si>
  <si>
    <t>고객의 소리</t>
    <phoneticPr fontId="6" type="noConversion"/>
  </si>
  <si>
    <t>추가 기능</t>
    <phoneticPr fontId="6" type="noConversion"/>
  </si>
  <si>
    <t>개선포인트점수 기반 고객니즈 우선순위</t>
    <phoneticPr fontId="6" type="noConversion"/>
  </si>
  <si>
    <t>순위</t>
    <phoneticPr fontId="6" type="noConversion"/>
  </si>
  <si>
    <t>고객니즈</t>
    <phoneticPr fontId="6" type="noConversion"/>
  </si>
  <si>
    <t>경쟁사대비 수준향상율</t>
    <phoneticPr fontId="6" type="noConversion"/>
  </si>
  <si>
    <t>개발향상비중</t>
    <phoneticPr fontId="6" type="noConversion"/>
  </si>
  <si>
    <t>개선포인트기반 개선 기능/성능 List</t>
    <phoneticPr fontId="6" type="noConversion"/>
  </si>
  <si>
    <t>개선포인트 우선순위 (고객니즈)</t>
    <phoneticPr fontId="6" type="noConversion"/>
  </si>
  <si>
    <t>성능향상</t>
    <phoneticPr fontId="6" type="noConversion"/>
  </si>
  <si>
    <t>KS-QFD를 활용한 제품/서비스의 개선 방향성</t>
    <phoneticPr fontId="6" type="noConversion"/>
  </si>
  <si>
    <t>고객혜택 제공을 위한 제품/서비스개선 방향(차별화)</t>
    <phoneticPr fontId="6" type="noConversion"/>
  </si>
  <si>
    <t>개선기능 및 성능향상</t>
    <phoneticPr fontId="6" type="noConversion"/>
  </si>
  <si>
    <t>개선을 위한 구현가능성</t>
    <phoneticPr fontId="6" type="noConversion"/>
  </si>
  <si>
    <t>목표 고객</t>
    <phoneticPr fontId="6" type="noConversion"/>
  </si>
  <si>
    <t>자금소요계획표(3년간)                               (단위:백만원)</t>
    <phoneticPr fontId="6" type="noConversion"/>
  </si>
  <si>
    <t>자금조달계획표(3년간)                                       (단위:백만원)</t>
    <phoneticPr fontId="6" type="noConversion"/>
  </si>
  <si>
    <t>제품 속성 적합도</t>
    <phoneticPr fontId="6" type="noConversion"/>
  </si>
  <si>
    <t>2025년도 매출처별 매출 현황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</si>
</sst>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0.00;_尀"/>
    <numFmt numFmtId="177" formatCode="0.00_ "/>
    <numFmt numFmtId="178" formatCode="0.000_ "/>
    <numFmt numFmtId="179" formatCode="0.0%"/>
    <numFmt numFmtId="180" formatCode="_(* #,##0.0_);_(* \(#,##0.0\);_(* &quot;-&quot;_);_(@_)"/>
    <numFmt numFmtId="181" formatCode="0_ "/>
    <numFmt numFmtId="182" formatCode="0.0_ "/>
    <numFmt numFmtId="183" formatCode="#,##0_);[Red]\(#,##0\)"/>
    <numFmt numFmtId="184" formatCode="&quot;₩&quot;#,##0"/>
    <numFmt numFmtId="185" formatCode="&quot;₩&quot;#,##0_);[Red]\(&quot;₩&quot;#,##0\)"/>
    <numFmt numFmtId="186" formatCode="0.0"/>
  </numFmts>
  <fonts count="5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3F3F3F"/>
      <name val="맑은 고딕"/>
      <family val="2"/>
      <charset val="129"/>
      <scheme val="minor"/>
    </font>
    <font>
      <b/>
      <sz val="10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theme="3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rgb="FF9C6500"/>
      <name val="맑은 고딕"/>
      <family val="2"/>
      <charset val="129"/>
      <scheme val="minor"/>
    </font>
    <font>
      <sz val="10"/>
      <color rgb="FF9C6500"/>
      <name val="맑은 고딕"/>
      <family val="3"/>
      <charset val="129"/>
      <scheme val="minor"/>
    </font>
    <font>
      <sz val="10"/>
      <name val="맑은 고딕"/>
      <family val="2"/>
      <charset val="129"/>
      <scheme val="minor"/>
    </font>
    <font>
      <sz val="10"/>
      <name val="돋움"/>
      <family val="3"/>
      <charset val="129"/>
    </font>
    <font>
      <b/>
      <sz val="12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color rgb="FF9C000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Arial"/>
      <family val="2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FA7D00"/>
      <name val="맑은 고딕"/>
      <family val="3"/>
      <charset val="129"/>
      <scheme val="minor"/>
    </font>
    <font>
      <b/>
      <sz val="11"/>
      <color rgb="FF3F3F76"/>
      <name val="맑은 고딕"/>
      <family val="3"/>
      <charset val="129"/>
      <scheme val="minor"/>
    </font>
    <font>
      <b/>
      <sz val="10"/>
      <color rgb="FF3F3F76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0"/>
      <name val="맑은 고딕"/>
      <family val="2"/>
      <charset val="129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EA88A"/>
        <bgColor indexed="64"/>
      </patternFill>
    </fill>
    <fill>
      <patternFill patternType="solid">
        <fgColor rgb="FFD0E1DA"/>
        <bgColor indexed="64"/>
      </patternFill>
    </fill>
    <fill>
      <patternFill patternType="solid">
        <fgColor rgb="FFE9F1ED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9F1F5"/>
        <bgColor indexed="64"/>
      </patternFill>
    </fill>
    <fill>
      <patternFill patternType="solid">
        <fgColor rgb="FFEEF9F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8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7F7F7F"/>
      </left>
      <right/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/>
      </bottom>
      <diagonal/>
    </border>
    <border>
      <left style="thin">
        <color rgb="FFB2B2B2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indexed="64"/>
      </top>
      <bottom/>
      <diagonal/>
    </border>
    <border>
      <left/>
      <right style="thin">
        <color rgb="FF7F7F7F"/>
      </right>
      <top style="thin">
        <color indexed="64"/>
      </top>
      <bottom/>
      <diagonal/>
    </border>
    <border>
      <left/>
      <right/>
      <top style="thin">
        <color rgb="FFB2B2B2"/>
      </top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/>
      <top style="thin">
        <color rgb="FF7F7F7F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rgb="FF3F3F3F"/>
      </right>
      <top/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3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2" borderId="1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1" fillId="5" borderId="4" applyNumberFormat="0" applyFont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3" borderId="1" applyNumberFormat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0" fillId="0" borderId="0"/>
    <xf numFmtId="0" fontId="10" fillId="0" borderId="0"/>
    <xf numFmtId="0" fontId="9" fillId="0" borderId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44" fillId="0" borderId="0"/>
    <xf numFmtId="41" fontId="9" fillId="0" borderId="0" applyFont="0" applyFill="0" applyBorder="0" applyAlignment="0" applyProtection="0">
      <alignment vertical="center"/>
    </xf>
    <xf numFmtId="0" fontId="11" fillId="4" borderId="3" applyNumberFormat="0" applyAlignment="0" applyProtection="0">
      <alignment vertical="center"/>
    </xf>
    <xf numFmtId="0" fontId="9" fillId="5" borderId="4" applyNumberFormat="0" applyFont="0" applyAlignment="0" applyProtection="0">
      <alignment vertical="center"/>
    </xf>
  </cellStyleXfs>
  <cellXfs count="320">
    <xf numFmtId="0" fontId="0" fillId="0" borderId="0" xfId="0">
      <alignment vertical="center"/>
    </xf>
    <xf numFmtId="0" fontId="13" fillId="0" borderId="0" xfId="0" applyFont="1">
      <alignment vertical="center"/>
    </xf>
    <xf numFmtId="0" fontId="13" fillId="0" borderId="5" xfId="0" applyFont="1" applyBorder="1" applyAlignment="1">
      <alignment horizontal="center" vertical="center"/>
    </xf>
    <xf numFmtId="0" fontId="22" fillId="3" borderId="9" xfId="5" applyFont="1" applyBorder="1" applyAlignment="1">
      <alignment horizontal="center" vertical="center" wrapText="1" readingOrder="1"/>
    </xf>
    <xf numFmtId="0" fontId="22" fillId="3" borderId="10" xfId="5" applyFont="1" applyBorder="1" applyAlignment="1">
      <alignment horizontal="center" vertical="center" wrapText="1" readingOrder="1"/>
    </xf>
    <xf numFmtId="0" fontId="0" fillId="0" borderId="5" xfId="0" applyBorder="1">
      <alignment vertical="center"/>
    </xf>
    <xf numFmtId="0" fontId="25" fillId="20" borderId="17" xfId="0" applyFont="1" applyFill="1" applyBorder="1" applyAlignment="1">
      <alignment horizontal="center" vertical="center" wrapText="1"/>
    </xf>
    <xf numFmtId="0" fontId="25" fillId="20" borderId="18" xfId="0" applyFont="1" applyFill="1" applyBorder="1" applyAlignment="1">
      <alignment horizontal="center" vertical="center" wrapText="1"/>
    </xf>
    <xf numFmtId="0" fontId="25" fillId="21" borderId="19" xfId="0" applyFont="1" applyFill="1" applyBorder="1" applyAlignment="1">
      <alignment horizontal="center" vertical="center" wrapText="1"/>
    </xf>
    <xf numFmtId="0" fontId="26" fillId="21" borderId="19" xfId="0" applyFont="1" applyFill="1" applyBorder="1" applyAlignment="1">
      <alignment horizontal="center" vertical="top" wrapText="1"/>
    </xf>
    <xf numFmtId="0" fontId="25" fillId="20" borderId="19" xfId="0" applyFont="1" applyFill="1" applyBorder="1" applyAlignment="1">
      <alignment horizontal="center" vertical="center" wrapText="1"/>
    </xf>
    <xf numFmtId="0" fontId="26" fillId="20" borderId="19" xfId="0" applyFont="1" applyFill="1" applyBorder="1" applyAlignment="1">
      <alignment horizontal="center" vertical="top" wrapText="1"/>
    </xf>
    <xf numFmtId="0" fontId="25" fillId="21" borderId="19" xfId="0" applyFont="1" applyFill="1" applyBorder="1" applyAlignment="1">
      <alignment horizontal="center" vertical="center" wrapText="1" readingOrder="1"/>
    </xf>
    <xf numFmtId="0" fontId="26" fillId="21" borderId="19" xfId="0" applyFont="1" applyFill="1" applyBorder="1" applyAlignment="1">
      <alignment vertical="top" wrapText="1"/>
    </xf>
    <xf numFmtId="0" fontId="11" fillId="7" borderId="0" xfId="7" applyFont="1" applyAlignment="1">
      <alignment horizontal="center" vertical="center"/>
    </xf>
    <xf numFmtId="0" fontId="4" fillId="3" borderId="1" xfId="5" applyAlignment="1">
      <alignment horizontal="center" vertical="center"/>
    </xf>
    <xf numFmtId="41" fontId="12" fillId="0" borderId="5" xfId="1" applyFont="1" applyBorder="1">
      <alignment vertical="center"/>
    </xf>
    <xf numFmtId="0" fontId="3" fillId="3" borderId="20" xfId="4" applyBorder="1" applyAlignment="1">
      <alignment horizontal="center" vertical="center"/>
    </xf>
    <xf numFmtId="0" fontId="4" fillId="3" borderId="21" xfId="5" applyBorder="1" applyAlignment="1">
      <alignment horizontal="center" vertical="center"/>
    </xf>
    <xf numFmtId="0" fontId="4" fillId="3" borderId="20" xfId="5" applyBorder="1" applyAlignment="1">
      <alignment horizontal="center" vertical="center"/>
    </xf>
    <xf numFmtId="0" fontId="0" fillId="16" borderId="22" xfId="6" applyFont="1" applyFill="1" applyBorder="1">
      <alignment vertical="center"/>
    </xf>
    <xf numFmtId="0" fontId="0" fillId="25" borderId="23" xfId="0" applyFill="1" applyBorder="1">
      <alignment vertical="center"/>
    </xf>
    <xf numFmtId="0" fontId="0" fillId="26" borderId="23" xfId="0" applyFill="1" applyBorder="1">
      <alignment vertical="center"/>
    </xf>
    <xf numFmtId="0" fontId="0" fillId="16" borderId="24" xfId="6" applyFont="1" applyFill="1" applyBorder="1">
      <alignment vertical="center"/>
    </xf>
    <xf numFmtId="0" fontId="0" fillId="25" borderId="25" xfId="0" applyFill="1" applyBorder="1">
      <alignment vertical="center"/>
    </xf>
    <xf numFmtId="0" fontId="0" fillId="26" borderId="25" xfId="0" applyFill="1" applyBorder="1">
      <alignment vertical="center"/>
    </xf>
    <xf numFmtId="0" fontId="0" fillId="16" borderId="26" xfId="6" applyFont="1" applyFill="1" applyBorder="1">
      <alignment vertical="center"/>
    </xf>
    <xf numFmtId="0" fontId="0" fillId="25" borderId="27" xfId="0" applyFill="1" applyBorder="1">
      <alignment vertical="center"/>
    </xf>
    <xf numFmtId="0" fontId="0" fillId="26" borderId="27" xfId="0" applyFill="1" applyBorder="1">
      <alignment vertical="center"/>
    </xf>
    <xf numFmtId="0" fontId="18" fillId="0" borderId="0" xfId="0" applyFont="1">
      <alignment vertical="center"/>
    </xf>
    <xf numFmtId="0" fontId="27" fillId="22" borderId="0" xfId="23" applyAlignment="1">
      <alignment horizontal="center" vertical="center"/>
    </xf>
    <xf numFmtId="0" fontId="30" fillId="27" borderId="5" xfId="0" applyFont="1" applyFill="1" applyBorder="1" applyAlignment="1">
      <alignment horizontal="center" vertical="center"/>
    </xf>
    <xf numFmtId="0" fontId="32" fillId="27" borderId="5" xfId="0" applyFont="1" applyFill="1" applyBorder="1" applyAlignment="1">
      <alignment horizontal="center" vertical="center"/>
    </xf>
    <xf numFmtId="0" fontId="33" fillId="24" borderId="5" xfId="25" applyFont="1" applyBorder="1" applyAlignment="1">
      <alignment horizontal="center" vertical="center"/>
    </xf>
    <xf numFmtId="0" fontId="34" fillId="24" borderId="5" xfId="25" applyFont="1" applyBorder="1" applyAlignment="1">
      <alignment horizontal="center" vertical="center"/>
    </xf>
    <xf numFmtId="0" fontId="30" fillId="27" borderId="5" xfId="0" applyFont="1" applyFill="1" applyBorder="1" applyAlignment="1">
      <alignment horizontal="center"/>
    </xf>
    <xf numFmtId="0" fontId="32" fillId="27" borderId="5" xfId="0" applyFont="1" applyFill="1" applyBorder="1" applyAlignment="1">
      <alignment horizontal="center"/>
    </xf>
    <xf numFmtId="0" fontId="32" fillId="27" borderId="6" xfId="0" applyFont="1" applyFill="1" applyBorder="1" applyAlignment="1">
      <alignment horizontal="center" vertical="center"/>
    </xf>
    <xf numFmtId="0" fontId="14" fillId="3" borderId="2" xfId="4" applyFont="1" applyAlignment="1">
      <alignment horizontal="center" vertical="center"/>
    </xf>
    <xf numFmtId="0" fontId="15" fillId="3" borderId="2" xfId="4" applyFont="1" applyAlignment="1">
      <alignment horizontal="center" vertical="center"/>
    </xf>
    <xf numFmtId="0" fontId="35" fillId="26" borderId="5" xfId="0" applyFont="1" applyFill="1" applyBorder="1" applyAlignment="1">
      <alignment horizontal="center" vertical="center"/>
    </xf>
    <xf numFmtId="0" fontId="13" fillId="16" borderId="5" xfId="0" applyFont="1" applyFill="1" applyBorder="1" applyAlignment="1">
      <alignment horizontal="center" vertical="center"/>
    </xf>
    <xf numFmtId="0" fontId="16" fillId="25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8" borderId="5" xfId="0" applyFont="1" applyFill="1" applyBorder="1" applyAlignment="1">
      <alignment horizontal="center" vertical="center"/>
    </xf>
    <xf numFmtId="0" fontId="28" fillId="23" borderId="29" xfId="24" applyBorder="1" applyAlignment="1">
      <alignment horizontal="center"/>
    </xf>
    <xf numFmtId="0" fontId="0" fillId="29" borderId="30" xfId="0" applyFill="1" applyBorder="1" applyAlignment="1">
      <alignment horizontal="center"/>
    </xf>
    <xf numFmtId="0" fontId="0" fillId="29" borderId="31" xfId="0" applyFill="1" applyBorder="1" applyAlignment="1">
      <alignment horizontal="center"/>
    </xf>
    <xf numFmtId="0" fontId="0" fillId="29" borderId="32" xfId="0" applyFill="1" applyBorder="1" applyAlignment="1">
      <alignment horizontal="center"/>
    </xf>
    <xf numFmtId="0" fontId="0" fillId="29" borderId="33" xfId="0" applyFill="1" applyBorder="1" applyAlignment="1">
      <alignment horizontal="center"/>
    </xf>
    <xf numFmtId="0" fontId="0" fillId="29" borderId="29" xfId="0" applyFill="1" applyBorder="1" applyAlignment="1">
      <alignment horizontal="center"/>
    </xf>
    <xf numFmtId="0" fontId="0" fillId="29" borderId="34" xfId="0" applyFill="1" applyBorder="1" applyAlignment="1">
      <alignment horizontal="center"/>
    </xf>
    <xf numFmtId="0" fontId="28" fillId="23" borderId="0" xfId="24" applyAlignment="1">
      <alignment horizontal="center" vertical="center"/>
    </xf>
    <xf numFmtId="0" fontId="27" fillId="22" borderId="0" xfId="23">
      <alignment vertical="center"/>
    </xf>
    <xf numFmtId="0" fontId="36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76" fontId="0" fillId="0" borderId="35" xfId="0" applyNumberFormat="1" applyBorder="1" applyAlignment="1"/>
    <xf numFmtId="177" fontId="0" fillId="0" borderId="36" xfId="0" applyNumberFormat="1" applyBorder="1" applyAlignment="1"/>
    <xf numFmtId="0" fontId="10" fillId="0" borderId="0" xfId="20"/>
    <xf numFmtId="0" fontId="26" fillId="0" borderId="30" xfId="20" applyFont="1" applyBorder="1"/>
    <xf numFmtId="0" fontId="26" fillId="0" borderId="37" xfId="20" applyFont="1" applyBorder="1" applyAlignment="1">
      <alignment horizontal="center"/>
    </xf>
    <xf numFmtId="0" fontId="26" fillId="0" borderId="38" xfId="20" applyFont="1" applyBorder="1" applyAlignment="1">
      <alignment horizontal="center"/>
    </xf>
    <xf numFmtId="0" fontId="26" fillId="0" borderId="5" xfId="20" applyFont="1" applyBorder="1" applyAlignment="1">
      <alignment horizontal="center"/>
    </xf>
    <xf numFmtId="0" fontId="36" fillId="0" borderId="5" xfId="20" applyFont="1" applyBorder="1"/>
    <xf numFmtId="0" fontId="26" fillId="29" borderId="39" xfId="20" applyFont="1" applyFill="1" applyBorder="1" applyAlignment="1">
      <alignment horizontal="center"/>
    </xf>
    <xf numFmtId="0" fontId="26" fillId="29" borderId="40" xfId="20" applyFont="1" applyFill="1" applyBorder="1" applyAlignment="1">
      <alignment horizontal="left"/>
    </xf>
    <xf numFmtId="178" fontId="26" fillId="0" borderId="35" xfId="20" applyNumberFormat="1" applyFont="1" applyBorder="1"/>
    <xf numFmtId="178" fontId="26" fillId="0" borderId="41" xfId="20" applyNumberFormat="1" applyFont="1" applyBorder="1"/>
    <xf numFmtId="0" fontId="26" fillId="0" borderId="0" xfId="0" applyFont="1" applyAlignment="1">
      <alignment horizontal="center" vertical="center"/>
    </xf>
    <xf numFmtId="0" fontId="41" fillId="25" borderId="50" xfId="0" applyFont="1" applyFill="1" applyBorder="1" applyAlignment="1">
      <alignment horizontal="center" vertical="center" wrapText="1"/>
    </xf>
    <xf numFmtId="0" fontId="41" fillId="25" borderId="51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textRotation="90"/>
    </xf>
    <xf numFmtId="0" fontId="41" fillId="33" borderId="29" xfId="0" applyFont="1" applyFill="1" applyBorder="1" applyAlignment="1">
      <alignment horizontal="center" vertical="center"/>
    </xf>
    <xf numFmtId="0" fontId="41" fillId="34" borderId="54" xfId="0" applyFont="1" applyFill="1" applyBorder="1" applyAlignment="1">
      <alignment horizontal="center" vertical="center" wrapText="1"/>
    </xf>
    <xf numFmtId="0" fontId="41" fillId="26" borderId="34" xfId="0" applyFont="1" applyFill="1" applyBorder="1" applyAlignment="1">
      <alignment horizontal="center" vertical="center"/>
    </xf>
    <xf numFmtId="0" fontId="26" fillId="31" borderId="47" xfId="0" applyFont="1" applyFill="1" applyBorder="1" applyAlignment="1">
      <alignment horizontal="center" vertical="center" wrapText="1"/>
    </xf>
    <xf numFmtId="0" fontId="26" fillId="31" borderId="55" xfId="0" applyFont="1" applyFill="1" applyBorder="1" applyAlignment="1">
      <alignment horizontal="center" vertical="center" wrapText="1"/>
    </xf>
    <xf numFmtId="0" fontId="41" fillId="25" borderId="56" xfId="0" applyFont="1" applyFill="1" applyBorder="1" applyAlignment="1">
      <alignment horizontal="center" vertical="center" wrapText="1"/>
    </xf>
    <xf numFmtId="0" fontId="41" fillId="25" borderId="55" xfId="0" applyFont="1" applyFill="1" applyBorder="1" applyAlignment="1">
      <alignment horizontal="center" vertical="center" wrapText="1"/>
    </xf>
    <xf numFmtId="0" fontId="26" fillId="33" borderId="12" xfId="0" applyFont="1" applyFill="1" applyBorder="1">
      <alignment vertical="center"/>
    </xf>
    <xf numFmtId="0" fontId="41" fillId="34" borderId="12" xfId="0" applyFont="1" applyFill="1" applyBorder="1" applyAlignment="1">
      <alignment horizontal="center" vertical="center" wrapText="1"/>
    </xf>
    <xf numFmtId="0" fontId="26" fillId="26" borderId="36" xfId="0" applyFont="1" applyFill="1" applyBorder="1" applyAlignment="1">
      <alignment horizontal="left" vertical="center"/>
    </xf>
    <xf numFmtId="0" fontId="26" fillId="35" borderId="35" xfId="0" applyFont="1" applyFill="1" applyBorder="1" applyAlignment="1">
      <alignment horizontal="center" vertical="center"/>
    </xf>
    <xf numFmtId="0" fontId="26" fillId="35" borderId="12" xfId="0" applyFont="1" applyFill="1" applyBorder="1" applyAlignment="1">
      <alignment horizontal="center" vertical="center"/>
    </xf>
    <xf numFmtId="0" fontId="26" fillId="35" borderId="58" xfId="0" applyFont="1" applyFill="1" applyBorder="1" applyAlignment="1">
      <alignment horizontal="center" vertical="center"/>
    </xf>
    <xf numFmtId="179" fontId="26" fillId="25" borderId="12" xfId="2" applyNumberFormat="1" applyFont="1" applyFill="1" applyBorder="1" applyAlignment="1"/>
    <xf numFmtId="0" fontId="26" fillId="25" borderId="12" xfId="0" applyFont="1" applyFill="1" applyBorder="1" applyAlignment="1">
      <alignment horizontal="center" vertical="center"/>
    </xf>
    <xf numFmtId="0" fontId="43" fillId="32" borderId="35" xfId="0" applyFont="1" applyFill="1" applyBorder="1" applyAlignment="1">
      <alignment vertical="top" wrapText="1"/>
    </xf>
    <xf numFmtId="180" fontId="43" fillId="32" borderId="12" xfId="1" applyNumberFormat="1" applyFont="1" applyFill="1" applyBorder="1" applyAlignment="1">
      <alignment vertical="top" wrapText="1"/>
    </xf>
    <xf numFmtId="180" fontId="43" fillId="32" borderId="12" xfId="1" applyNumberFormat="1" applyFont="1" applyFill="1" applyBorder="1" applyAlignment="1">
      <alignment horizontal="center" vertical="top" wrapText="1"/>
    </xf>
    <xf numFmtId="181" fontId="26" fillId="32" borderId="36" xfId="0" applyNumberFormat="1" applyFont="1" applyFill="1" applyBorder="1" applyAlignment="1">
      <alignment horizontal="center" vertical="center"/>
    </xf>
    <xf numFmtId="0" fontId="26" fillId="33" borderId="5" xfId="0" applyFont="1" applyFill="1" applyBorder="1">
      <alignment vertical="center"/>
    </xf>
    <xf numFmtId="0" fontId="41" fillId="34" borderId="5" xfId="0" applyFont="1" applyFill="1" applyBorder="1" applyAlignment="1">
      <alignment horizontal="center" vertical="center" wrapText="1"/>
    </xf>
    <xf numFmtId="0" fontId="26" fillId="26" borderId="59" xfId="0" applyFont="1" applyFill="1" applyBorder="1" applyAlignment="1">
      <alignment horizontal="left" vertical="center"/>
    </xf>
    <xf numFmtId="0" fontId="26" fillId="35" borderId="7" xfId="0" applyFont="1" applyFill="1" applyBorder="1" applyAlignment="1">
      <alignment horizontal="center" vertical="center"/>
    </xf>
    <xf numFmtId="0" fontId="26" fillId="35" borderId="5" xfId="0" applyFont="1" applyFill="1" applyBorder="1" applyAlignment="1">
      <alignment horizontal="center" vertical="center"/>
    </xf>
    <xf numFmtId="0" fontId="43" fillId="32" borderId="7" xfId="0" applyFont="1" applyFill="1" applyBorder="1" applyAlignment="1">
      <alignment vertical="top" wrapText="1"/>
    </xf>
    <xf numFmtId="180" fontId="43" fillId="32" borderId="5" xfId="1" applyNumberFormat="1" applyFont="1" applyFill="1" applyBorder="1" applyAlignment="1">
      <alignment vertical="top" wrapText="1"/>
    </xf>
    <xf numFmtId="0" fontId="26" fillId="0" borderId="0" xfId="0" applyFont="1" applyAlignment="1">
      <alignment horizontal="right" vertical="center"/>
    </xf>
    <xf numFmtId="0" fontId="26" fillId="0" borderId="62" xfId="26" applyFont="1" applyBorder="1" applyAlignment="1">
      <alignment horizontal="center" vertical="center" wrapText="1"/>
    </xf>
    <xf numFmtId="0" fontId="26" fillId="36" borderId="63" xfId="0" applyFont="1" applyFill="1" applyBorder="1" applyAlignment="1"/>
    <xf numFmtId="9" fontId="26" fillId="36" borderId="54" xfId="0" applyNumberFormat="1" applyFont="1" applyFill="1" applyBorder="1" applyAlignment="1"/>
    <xf numFmtId="0" fontId="26" fillId="36" borderId="54" xfId="0" applyFont="1" applyFill="1" applyBorder="1" applyAlignment="1"/>
    <xf numFmtId="0" fontId="26" fillId="36" borderId="37" xfId="0" applyFont="1" applyFill="1" applyBorder="1" applyAlignment="1">
      <alignment horizontal="center" vertical="center"/>
    </xf>
    <xf numFmtId="0" fontId="26" fillId="36" borderId="54" xfId="0" applyFont="1" applyFill="1" applyBorder="1" applyAlignment="1">
      <alignment horizontal="center" vertical="center"/>
    </xf>
    <xf numFmtId="182" fontId="26" fillId="36" borderId="54" xfId="0" applyNumberFormat="1" applyFont="1" applyFill="1" applyBorder="1" applyAlignment="1">
      <alignment horizontal="center" vertical="center"/>
    </xf>
    <xf numFmtId="180" fontId="26" fillId="36" borderId="54" xfId="0" applyNumberFormat="1" applyFont="1" applyFill="1" applyBorder="1" applyAlignment="1">
      <alignment horizontal="center" vertical="center"/>
    </xf>
    <xf numFmtId="0" fontId="26" fillId="36" borderId="34" xfId="0" applyFont="1" applyFill="1" applyBorder="1" applyAlignment="1">
      <alignment horizontal="center" vertical="center"/>
    </xf>
    <xf numFmtId="0" fontId="41" fillId="0" borderId="64" xfId="0" applyFont="1" applyBorder="1" applyAlignment="1">
      <alignment horizontal="center" vertical="center"/>
    </xf>
    <xf numFmtId="0" fontId="41" fillId="0" borderId="44" xfId="0" applyFont="1" applyBorder="1" applyAlignment="1">
      <alignment horizontal="center" vertical="center"/>
    </xf>
    <xf numFmtId="0" fontId="26" fillId="37" borderId="65" xfId="0" applyFont="1" applyFill="1" applyBorder="1" applyAlignment="1">
      <alignment horizontal="center" vertical="center"/>
    </xf>
    <xf numFmtId="0" fontId="26" fillId="37" borderId="0" xfId="0" applyFont="1" applyFill="1" applyAlignment="1"/>
    <xf numFmtId="9" fontId="26" fillId="37" borderId="0" xfId="0" applyNumberFormat="1" applyFont="1" applyFill="1" applyAlignment="1"/>
    <xf numFmtId="0" fontId="26" fillId="37" borderId="0" xfId="0" applyFont="1" applyFill="1" applyAlignment="1">
      <alignment horizontal="center" vertical="center"/>
    </xf>
    <xf numFmtId="182" fontId="26" fillId="37" borderId="0" xfId="0" applyNumberFormat="1" applyFont="1" applyFill="1" applyAlignment="1">
      <alignment horizontal="center" vertical="center"/>
    </xf>
    <xf numFmtId="180" fontId="26" fillId="37" borderId="0" xfId="0" applyNumberFormat="1" applyFont="1" applyFill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39" borderId="65" xfId="0" applyFont="1" applyFill="1" applyBorder="1" applyAlignment="1">
      <alignment horizontal="center" vertical="center" textRotation="90"/>
    </xf>
    <xf numFmtId="0" fontId="26" fillId="39" borderId="32" xfId="0" applyFont="1" applyFill="1" applyBorder="1" applyAlignment="1">
      <alignment horizontal="center" vertical="center" textRotation="90"/>
    </xf>
    <xf numFmtId="0" fontId="26" fillId="0" borderId="0" xfId="0" applyFont="1" applyAlignment="1">
      <alignment horizontal="left" vertical="center"/>
    </xf>
    <xf numFmtId="0" fontId="26" fillId="0" borderId="67" xfId="0" applyFont="1" applyBorder="1" applyAlignment="1">
      <alignment horizontal="center" vertical="center"/>
    </xf>
    <xf numFmtId="0" fontId="26" fillId="39" borderId="7" xfId="0" applyFont="1" applyFill="1" applyBorder="1" applyAlignment="1">
      <alignment horizontal="center" vertical="center"/>
    </xf>
    <xf numFmtId="0" fontId="26" fillId="39" borderId="5" xfId="0" applyFont="1" applyFill="1" applyBorder="1" applyAlignment="1">
      <alignment horizontal="center" vertical="center"/>
    </xf>
    <xf numFmtId="0" fontId="26" fillId="0" borderId="68" xfId="0" applyFont="1" applyBorder="1" applyAlignment="1">
      <alignment horizontal="center" vertical="center"/>
    </xf>
    <xf numFmtId="0" fontId="26" fillId="39" borderId="69" xfId="0" applyFont="1" applyFill="1" applyBorder="1" applyAlignment="1">
      <alignment horizontal="center" vertical="center"/>
    </xf>
    <xf numFmtId="0" fontId="26" fillId="39" borderId="10" xfId="0" applyFont="1" applyFill="1" applyBorder="1" applyAlignment="1">
      <alignment horizontal="center" vertical="center"/>
    </xf>
    <xf numFmtId="0" fontId="26" fillId="39" borderId="37" xfId="0" applyFont="1" applyFill="1" applyBorder="1" applyAlignment="1">
      <alignment horizontal="center" vertical="center"/>
    </xf>
    <xf numFmtId="0" fontId="26" fillId="39" borderId="54" xfId="0" applyFont="1" applyFill="1" applyBorder="1" applyAlignment="1">
      <alignment horizontal="center" vertical="center"/>
    </xf>
    <xf numFmtId="0" fontId="46" fillId="41" borderId="5" xfId="0" applyFont="1" applyFill="1" applyBorder="1" applyAlignment="1">
      <alignment horizontal="left" vertical="center" wrapText="1" indent="1" readingOrder="1"/>
    </xf>
    <xf numFmtId="0" fontId="46" fillId="41" borderId="5" xfId="0" applyFont="1" applyFill="1" applyBorder="1" applyAlignment="1">
      <alignment horizontal="left" vertical="center" wrapText="1" readingOrder="1"/>
    </xf>
    <xf numFmtId="0" fontId="44" fillId="41" borderId="5" xfId="0" applyFont="1" applyFill="1" applyBorder="1" applyAlignment="1">
      <alignment vertical="center" wrapText="1"/>
    </xf>
    <xf numFmtId="0" fontId="45" fillId="40" borderId="5" xfId="0" applyFont="1" applyFill="1" applyBorder="1" applyAlignment="1">
      <alignment horizontal="center" vertical="center" wrapText="1" readingOrder="1"/>
    </xf>
    <xf numFmtId="0" fontId="46" fillId="42" borderId="5" xfId="0" applyFont="1" applyFill="1" applyBorder="1" applyAlignment="1">
      <alignment horizontal="left" vertical="center" wrapText="1" indent="1" readingOrder="1"/>
    </xf>
    <xf numFmtId="0" fontId="44" fillId="42" borderId="5" xfId="0" applyFont="1" applyFill="1" applyBorder="1" applyAlignment="1">
      <alignment horizontal="right" vertical="center" wrapText="1" indent="1"/>
    </xf>
    <xf numFmtId="0" fontId="12" fillId="28" borderId="5" xfId="0" applyFont="1" applyFill="1" applyBorder="1" applyAlignment="1">
      <alignment horizontal="center" vertical="center"/>
    </xf>
    <xf numFmtId="0" fontId="13" fillId="0" borderId="5" xfId="0" applyFont="1" applyBorder="1">
      <alignment vertical="center"/>
    </xf>
    <xf numFmtId="0" fontId="16" fillId="0" borderId="12" xfId="0" applyFont="1" applyBorder="1" applyAlignment="1">
      <alignment horizontal="center" vertical="center"/>
    </xf>
    <xf numFmtId="183" fontId="16" fillId="0" borderId="5" xfId="1" applyNumberFormat="1" applyFont="1" applyBorder="1">
      <alignment vertical="center"/>
    </xf>
    <xf numFmtId="0" fontId="13" fillId="17" borderId="10" xfId="0" applyFont="1" applyFill="1" applyBorder="1" applyAlignment="1">
      <alignment horizontal="center" vertical="center"/>
    </xf>
    <xf numFmtId="0" fontId="16" fillId="17" borderId="5" xfId="0" applyFont="1" applyFill="1" applyBorder="1">
      <alignment vertical="center"/>
    </xf>
    <xf numFmtId="183" fontId="16" fillId="17" borderId="5" xfId="1" applyNumberFormat="1" applyFont="1" applyFill="1" applyBorder="1">
      <alignment vertical="center"/>
    </xf>
    <xf numFmtId="0" fontId="16" fillId="0" borderId="7" xfId="0" applyFont="1" applyBorder="1">
      <alignment vertical="center"/>
    </xf>
    <xf numFmtId="184" fontId="8" fillId="3" borderId="70" xfId="5" applyNumberFormat="1" applyFont="1" applyBorder="1" applyAlignment="1">
      <alignment vertical="center"/>
    </xf>
    <xf numFmtId="183" fontId="16" fillId="0" borderId="5" xfId="0" applyNumberFormat="1" applyFont="1" applyBorder="1">
      <alignment vertical="center"/>
    </xf>
    <xf numFmtId="185" fontId="47" fillId="3" borderId="1" xfId="5" applyNumberFormat="1" applyFont="1">
      <alignment vertical="center"/>
    </xf>
    <xf numFmtId="0" fontId="13" fillId="0" borderId="12" xfId="0" applyFont="1" applyBorder="1" applyAlignment="1">
      <alignment horizontal="center" vertical="center"/>
    </xf>
    <xf numFmtId="0" fontId="12" fillId="5" borderId="4" xfId="6" applyFont="1" applyAlignment="1">
      <alignment horizontal="center" vertical="center"/>
    </xf>
    <xf numFmtId="0" fontId="2" fillId="2" borderId="1" xfId="3" applyAlignment="1">
      <alignment horizontal="center" vertical="center"/>
    </xf>
    <xf numFmtId="3" fontId="16" fillId="5" borderId="4" xfId="6" applyNumberFormat="1" applyFont="1">
      <alignment vertical="center"/>
    </xf>
    <xf numFmtId="3" fontId="12" fillId="5" borderId="4" xfId="6" applyNumberFormat="1" applyFont="1" applyAlignment="1">
      <alignment horizontal="center" vertical="center"/>
    </xf>
    <xf numFmtId="0" fontId="49" fillId="2" borderId="1" xfId="3" applyFont="1" applyAlignment="1">
      <alignment horizontal="center" vertical="center"/>
    </xf>
    <xf numFmtId="0" fontId="0" fillId="0" borderId="75" xfId="0" applyBorder="1">
      <alignment vertical="center"/>
    </xf>
    <xf numFmtId="0" fontId="2" fillId="2" borderId="1" xfId="3">
      <alignment vertical="center"/>
    </xf>
    <xf numFmtId="3" fontId="48" fillId="2" borderId="1" xfId="3" applyNumberFormat="1" applyFont="1">
      <alignment vertical="center"/>
    </xf>
    <xf numFmtId="49" fontId="50" fillId="3" borderId="2" xfId="4" applyNumberFormat="1" applyFont="1">
      <alignment vertical="center"/>
    </xf>
    <xf numFmtId="0" fontId="45" fillId="42" borderId="10" xfId="0" applyFont="1" applyFill="1" applyBorder="1" applyAlignment="1">
      <alignment vertical="center" wrapText="1" readingOrder="1"/>
    </xf>
    <xf numFmtId="0" fontId="4" fillId="3" borderId="5" xfId="5" applyBorder="1" applyAlignment="1">
      <alignment horizontal="center" vertical="center"/>
    </xf>
    <xf numFmtId="0" fontId="0" fillId="0" borderId="0" xfId="0" applyAlignment="1">
      <alignment horizontal="center" vertical="center"/>
    </xf>
    <xf numFmtId="186" fontId="0" fillId="0" borderId="0" xfId="0" applyNumberFormat="1" applyAlignment="1">
      <alignment horizontal="center" vertical="center"/>
    </xf>
    <xf numFmtId="0" fontId="17" fillId="16" borderId="5" xfId="0" applyFont="1" applyFill="1" applyBorder="1" applyAlignment="1">
      <alignment horizontal="center" vertical="center"/>
    </xf>
    <xf numFmtId="0" fontId="17" fillId="43" borderId="5" xfId="0" applyFont="1" applyFill="1" applyBorder="1" applyAlignment="1">
      <alignment horizontal="center" vertical="center" wrapText="1"/>
    </xf>
    <xf numFmtId="0" fontId="0" fillId="44" borderId="50" xfId="0" applyFill="1" applyBorder="1" applyAlignment="1">
      <alignment horizontal="center" vertical="center"/>
    </xf>
    <xf numFmtId="0" fontId="0" fillId="45" borderId="51" xfId="0" applyFill="1" applyBorder="1" applyAlignment="1">
      <alignment horizontal="center" vertical="center"/>
    </xf>
    <xf numFmtId="0" fontId="0" fillId="46" borderId="51" xfId="0" applyFill="1" applyBorder="1" applyAlignment="1">
      <alignment horizontal="center" vertical="center"/>
    </xf>
    <xf numFmtId="0" fontId="0" fillId="47" borderId="51" xfId="0" applyFill="1" applyBorder="1" applyAlignment="1">
      <alignment horizontal="center" vertical="center"/>
    </xf>
    <xf numFmtId="0" fontId="0" fillId="25" borderId="53" xfId="0" applyFill="1" applyBorder="1" applyAlignment="1">
      <alignment horizontal="center" vertical="center"/>
    </xf>
    <xf numFmtId="0" fontId="0" fillId="48" borderId="50" xfId="0" applyFill="1" applyBorder="1" applyAlignment="1">
      <alignment horizontal="center" vertical="center"/>
    </xf>
    <xf numFmtId="0" fontId="0" fillId="17" borderId="51" xfId="0" applyFill="1" applyBorder="1" applyAlignment="1">
      <alignment horizontal="center" vertical="center"/>
    </xf>
    <xf numFmtId="0" fontId="0" fillId="49" borderId="51" xfId="0" applyFill="1" applyBorder="1" applyAlignment="1">
      <alignment horizontal="center" vertical="center"/>
    </xf>
    <xf numFmtId="0" fontId="0" fillId="50" borderId="51" xfId="0" applyFill="1" applyBorder="1" applyAlignment="1">
      <alignment horizontal="center" vertical="center"/>
    </xf>
    <xf numFmtId="0" fontId="0" fillId="48" borderId="53" xfId="0" applyFill="1" applyBorder="1" applyAlignment="1">
      <alignment horizontal="center" vertical="center"/>
    </xf>
    <xf numFmtId="0" fontId="52" fillId="42" borderId="5" xfId="0" applyFont="1" applyFill="1" applyBorder="1" applyAlignment="1">
      <alignment horizontal="center" vertical="center"/>
    </xf>
    <xf numFmtId="0" fontId="17" fillId="18" borderId="12" xfId="0" applyFont="1" applyFill="1" applyBorder="1">
      <alignment vertical="center"/>
    </xf>
    <xf numFmtId="2" fontId="0" fillId="35" borderId="5" xfId="0" applyNumberFormat="1" applyFill="1" applyBorder="1" applyAlignment="1">
      <alignment horizontal="center" vertical="center"/>
    </xf>
    <xf numFmtId="0" fontId="17" fillId="35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7" fillId="18" borderId="5" xfId="0" applyFont="1" applyFill="1" applyBorder="1">
      <alignment vertical="center"/>
    </xf>
    <xf numFmtId="0" fontId="17" fillId="0" borderId="0" xfId="0" applyFont="1">
      <alignment vertical="center"/>
    </xf>
    <xf numFmtId="0" fontId="0" fillId="44" borderId="58" xfId="0" applyFill="1" applyBorder="1" applyAlignment="1">
      <alignment horizontal="center" vertical="center"/>
    </xf>
    <xf numFmtId="0" fontId="0" fillId="45" borderId="5" xfId="0" applyFill="1" applyBorder="1" applyAlignment="1">
      <alignment horizontal="center" vertical="center"/>
    </xf>
    <xf numFmtId="0" fontId="0" fillId="46" borderId="5" xfId="0" applyFill="1" applyBorder="1" applyAlignment="1">
      <alignment horizontal="center" vertical="center"/>
    </xf>
    <xf numFmtId="0" fontId="0" fillId="47" borderId="5" xfId="0" applyFill="1" applyBorder="1" applyAlignment="1">
      <alignment horizontal="center" vertical="center"/>
    </xf>
    <xf numFmtId="0" fontId="0" fillId="47" borderId="59" xfId="0" applyFill="1" applyBorder="1" applyAlignment="1">
      <alignment horizontal="center" vertical="center"/>
    </xf>
    <xf numFmtId="0" fontId="0" fillId="48" borderId="58" xfId="0" applyFill="1" applyBorder="1" applyAlignment="1">
      <alignment horizontal="center" vertical="center"/>
    </xf>
    <xf numFmtId="0" fontId="0" fillId="17" borderId="5" xfId="0" applyFill="1" applyBorder="1" applyAlignment="1">
      <alignment horizontal="center" vertical="center"/>
    </xf>
    <xf numFmtId="0" fontId="0" fillId="49" borderId="5" xfId="0" applyFill="1" applyBorder="1" applyAlignment="1">
      <alignment horizontal="center" vertical="center"/>
    </xf>
    <xf numFmtId="0" fontId="0" fillId="50" borderId="5" xfId="0" applyFill="1" applyBorder="1" applyAlignment="1">
      <alignment horizontal="center" vertical="center"/>
    </xf>
    <xf numFmtId="0" fontId="0" fillId="50" borderId="59" xfId="0" applyFill="1" applyBorder="1" applyAlignment="1">
      <alignment horizontal="center" vertical="center"/>
    </xf>
    <xf numFmtId="0" fontId="17" fillId="51" borderId="12" xfId="0" applyFont="1" applyFill="1" applyBorder="1">
      <alignment vertical="center"/>
    </xf>
    <xf numFmtId="0" fontId="51" fillId="46" borderId="5" xfId="0" applyFont="1" applyFill="1" applyBorder="1" applyAlignment="1">
      <alignment horizontal="center" vertical="center"/>
    </xf>
    <xf numFmtId="0" fontId="51" fillId="46" borderId="59" xfId="0" applyFont="1" applyFill="1" applyBorder="1" applyAlignment="1">
      <alignment horizontal="center" vertical="center"/>
    </xf>
    <xf numFmtId="0" fontId="51" fillId="48" borderId="58" xfId="0" applyFont="1" applyFill="1" applyBorder="1" applyAlignment="1">
      <alignment horizontal="center" vertical="center"/>
    </xf>
    <xf numFmtId="0" fontId="51" fillId="17" borderId="5" xfId="0" applyFont="1" applyFill="1" applyBorder="1" applyAlignment="1">
      <alignment horizontal="center" vertical="center"/>
    </xf>
    <xf numFmtId="0" fontId="51" fillId="49" borderId="5" xfId="0" applyFont="1" applyFill="1" applyBorder="1" applyAlignment="1">
      <alignment horizontal="center" vertical="center"/>
    </xf>
    <xf numFmtId="0" fontId="51" fillId="49" borderId="59" xfId="0" applyFont="1" applyFill="1" applyBorder="1" applyAlignment="1">
      <alignment horizontal="center" vertical="center"/>
    </xf>
    <xf numFmtId="0" fontId="17" fillId="47" borderId="12" xfId="0" applyFont="1" applyFill="1" applyBorder="1">
      <alignment vertical="center"/>
    </xf>
    <xf numFmtId="0" fontId="19" fillId="45" borderId="5" xfId="0" applyFont="1" applyFill="1" applyBorder="1" applyAlignment="1">
      <alignment horizontal="center" vertical="center"/>
    </xf>
    <xf numFmtId="0" fontId="19" fillId="45" borderId="59" xfId="0" applyFont="1" applyFill="1" applyBorder="1" applyAlignment="1">
      <alignment horizontal="center" vertical="center"/>
    </xf>
    <xf numFmtId="0" fontId="19" fillId="48" borderId="58" xfId="0" applyFont="1" applyFill="1" applyBorder="1" applyAlignment="1">
      <alignment horizontal="center" vertical="center"/>
    </xf>
    <xf numFmtId="0" fontId="19" fillId="17" borderId="5" xfId="0" applyFont="1" applyFill="1" applyBorder="1" applyAlignment="1">
      <alignment horizontal="center" vertical="center"/>
    </xf>
    <xf numFmtId="0" fontId="19" fillId="17" borderId="59" xfId="0" applyFont="1" applyFill="1" applyBorder="1" applyAlignment="1">
      <alignment horizontal="center" vertical="center"/>
    </xf>
    <xf numFmtId="0" fontId="17" fillId="52" borderId="12" xfId="0" applyFont="1" applyFill="1" applyBorder="1">
      <alignment vertical="center"/>
    </xf>
    <xf numFmtId="0" fontId="0" fillId="44" borderId="80" xfId="0" applyFill="1" applyBorder="1" applyAlignment="1">
      <alignment horizontal="center" vertical="center"/>
    </xf>
    <xf numFmtId="0" fontId="19" fillId="44" borderId="10" xfId="0" applyFont="1" applyFill="1" applyBorder="1" applyAlignment="1">
      <alignment horizontal="center" vertical="center"/>
    </xf>
    <xf numFmtId="0" fontId="19" fillId="44" borderId="81" xfId="0" applyFont="1" applyFill="1" applyBorder="1" applyAlignment="1">
      <alignment horizontal="center" vertical="center"/>
    </xf>
    <xf numFmtId="0" fontId="19" fillId="48" borderId="80" xfId="0" applyFont="1" applyFill="1" applyBorder="1" applyAlignment="1">
      <alignment horizontal="center" vertical="center"/>
    </xf>
    <xf numFmtId="0" fontId="19" fillId="48" borderId="10" xfId="0" applyFont="1" applyFill="1" applyBorder="1" applyAlignment="1">
      <alignment horizontal="center" vertical="center"/>
    </xf>
    <xf numFmtId="0" fontId="19" fillId="48" borderId="81" xfId="0" applyFont="1" applyFill="1" applyBorder="1" applyAlignment="1">
      <alignment horizontal="center" vertical="center"/>
    </xf>
    <xf numFmtId="0" fontId="9" fillId="32" borderId="50" xfId="0" applyFont="1" applyFill="1" applyBorder="1" applyAlignment="1">
      <alignment horizontal="center" vertical="center"/>
    </xf>
    <xf numFmtId="0" fontId="19" fillId="32" borderId="51" xfId="0" applyFont="1" applyFill="1" applyBorder="1" applyAlignment="1">
      <alignment horizontal="center" vertical="center"/>
    </xf>
    <xf numFmtId="0" fontId="19" fillId="32" borderId="53" xfId="0" applyFont="1" applyFill="1" applyBorder="1" applyAlignment="1">
      <alignment horizontal="center" vertical="center"/>
    </xf>
    <xf numFmtId="0" fontId="19" fillId="52" borderId="50" xfId="0" applyFont="1" applyFill="1" applyBorder="1" applyAlignment="1">
      <alignment horizontal="center" vertical="center"/>
    </xf>
    <xf numFmtId="0" fontId="19" fillId="52" borderId="51" xfId="0" applyFont="1" applyFill="1" applyBorder="1" applyAlignment="1">
      <alignment horizontal="center" vertical="center"/>
    </xf>
    <xf numFmtId="0" fontId="19" fillId="52" borderId="53" xfId="0" applyFont="1" applyFill="1" applyBorder="1" applyAlignment="1">
      <alignment horizontal="center" vertical="center"/>
    </xf>
    <xf numFmtId="0" fontId="9" fillId="32" borderId="58" xfId="0" applyFont="1" applyFill="1" applyBorder="1" applyAlignment="1">
      <alignment horizontal="center" vertical="center"/>
    </xf>
    <xf numFmtId="0" fontId="19" fillId="32" borderId="5" xfId="0" applyFont="1" applyFill="1" applyBorder="1" applyAlignment="1">
      <alignment horizontal="center" vertical="center"/>
    </xf>
    <xf numFmtId="0" fontId="19" fillId="32" borderId="59" xfId="0" applyFont="1" applyFill="1" applyBorder="1" applyAlignment="1">
      <alignment horizontal="center" vertical="center"/>
    </xf>
    <xf numFmtId="0" fontId="19" fillId="52" borderId="58" xfId="0" applyFont="1" applyFill="1" applyBorder="1" applyAlignment="1">
      <alignment horizontal="center" vertical="center"/>
    </xf>
    <xf numFmtId="0" fontId="19" fillId="52" borderId="5" xfId="0" applyFont="1" applyFill="1" applyBorder="1" applyAlignment="1">
      <alignment horizontal="center" vertical="center"/>
    </xf>
    <xf numFmtId="0" fontId="19" fillId="52" borderId="59" xfId="0" applyFont="1" applyFill="1" applyBorder="1" applyAlignment="1">
      <alignment horizontal="center" vertical="center"/>
    </xf>
    <xf numFmtId="0" fontId="9" fillId="32" borderId="56" xfId="0" applyFont="1" applyFill="1" applyBorder="1" applyAlignment="1">
      <alignment horizontal="center" vertical="center"/>
    </xf>
    <xf numFmtId="0" fontId="19" fillId="32" borderId="55" xfId="0" applyFont="1" applyFill="1" applyBorder="1" applyAlignment="1">
      <alignment horizontal="center" vertical="center"/>
    </xf>
    <xf numFmtId="0" fontId="19" fillId="32" borderId="57" xfId="0" applyFont="1" applyFill="1" applyBorder="1" applyAlignment="1">
      <alignment horizontal="center" vertical="center"/>
    </xf>
    <xf numFmtId="0" fontId="19" fillId="52" borderId="56" xfId="0" applyFont="1" applyFill="1" applyBorder="1" applyAlignment="1">
      <alignment horizontal="center" vertical="center"/>
    </xf>
    <xf numFmtId="0" fontId="19" fillId="52" borderId="55" xfId="0" applyFont="1" applyFill="1" applyBorder="1" applyAlignment="1">
      <alignment horizontal="center" vertical="center"/>
    </xf>
    <xf numFmtId="0" fontId="19" fillId="52" borderId="57" xfId="0" applyFont="1" applyFill="1" applyBorder="1" applyAlignment="1">
      <alignment horizontal="center" vertical="center"/>
    </xf>
    <xf numFmtId="0" fontId="19" fillId="26" borderId="5" xfId="0" applyFont="1" applyFill="1" applyBorder="1" applyAlignment="1">
      <alignment horizontal="center" vertical="center"/>
    </xf>
    <xf numFmtId="2" fontId="0" fillId="0" borderId="0" xfId="0" applyNumberFormat="1">
      <alignment vertical="center"/>
    </xf>
    <xf numFmtId="0" fontId="12" fillId="0" borderId="0" xfId="0" applyFont="1">
      <alignment vertical="center"/>
    </xf>
    <xf numFmtId="186" fontId="19" fillId="26" borderId="12" xfId="0" quotePrefix="1" applyNumberFormat="1" applyFont="1" applyFill="1" applyBorder="1" applyAlignment="1">
      <alignment horizontal="left" vertical="center" wrapText="1"/>
    </xf>
    <xf numFmtId="0" fontId="19" fillId="26" borderId="35" xfId="0" quotePrefix="1" applyFont="1" applyFill="1" applyBorder="1" applyAlignment="1">
      <alignment horizontal="left" vertical="center" wrapText="1"/>
    </xf>
    <xf numFmtId="0" fontId="19" fillId="26" borderId="7" xfId="0" quotePrefix="1" applyFont="1" applyFill="1" applyBorder="1" applyAlignment="1">
      <alignment horizontal="left" vertical="center" wrapText="1"/>
    </xf>
    <xf numFmtId="186" fontId="19" fillId="26" borderId="7" xfId="0" applyNumberFormat="1" applyFont="1" applyFill="1" applyBorder="1" applyAlignment="1">
      <alignment horizontal="left" vertical="center" wrapText="1"/>
    </xf>
    <xf numFmtId="0" fontId="19" fillId="26" borderId="7" xfId="0" applyFont="1" applyFill="1" applyBorder="1" applyAlignment="1">
      <alignment horizontal="left" vertical="center" wrapText="1"/>
    </xf>
    <xf numFmtId="0" fontId="53" fillId="0" borderId="0" xfId="0" applyFont="1" applyAlignment="1">
      <alignment horizontal="center"/>
    </xf>
    <xf numFmtId="0" fontId="53" fillId="0" borderId="79" xfId="0" applyFont="1" applyBorder="1" applyAlignment="1">
      <alignment horizontal="center"/>
    </xf>
    <xf numFmtId="186" fontId="53" fillId="0" borderId="79" xfId="0" applyNumberFormat="1" applyFont="1" applyBorder="1" applyAlignment="1">
      <alignment horizontal="center"/>
    </xf>
    <xf numFmtId="186" fontId="53" fillId="0" borderId="0" xfId="0" applyNumberFormat="1" applyFont="1" applyAlignment="1">
      <alignment horizontal="center"/>
    </xf>
    <xf numFmtId="186" fontId="36" fillId="0" borderId="5" xfId="2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>
      <alignment vertical="center"/>
    </xf>
    <xf numFmtId="0" fontId="12" fillId="18" borderId="5" xfId="0" applyFont="1" applyFill="1" applyBorder="1">
      <alignment vertical="center"/>
    </xf>
    <xf numFmtId="0" fontId="19" fillId="0" borderId="0" xfId="0" applyFont="1">
      <alignment vertical="center"/>
    </xf>
    <xf numFmtId="3" fontId="12" fillId="0" borderId="5" xfId="0" applyNumberFormat="1" applyFont="1" applyBorder="1">
      <alignment vertical="center"/>
    </xf>
    <xf numFmtId="3" fontId="12" fillId="18" borderId="5" xfId="0" applyNumberFormat="1" applyFont="1" applyFill="1" applyBorder="1">
      <alignment vertical="center"/>
    </xf>
    <xf numFmtId="49" fontId="50" fillId="3" borderId="76" xfId="4" applyNumberFormat="1" applyFont="1" applyBorder="1">
      <alignment vertical="center"/>
    </xf>
    <xf numFmtId="0" fontId="48" fillId="26" borderId="5" xfId="3" applyFont="1" applyFill="1" applyBorder="1" applyAlignment="1">
      <alignment horizontal="center" vertical="center"/>
    </xf>
    <xf numFmtId="0" fontId="54" fillId="3" borderId="85" xfId="5" applyFont="1" applyBorder="1" applyAlignment="1">
      <alignment horizontal="center" vertical="center"/>
    </xf>
    <xf numFmtId="0" fontId="41" fillId="3" borderId="85" xfId="5" applyFont="1" applyBorder="1" applyAlignment="1">
      <alignment horizontal="center" vertical="center"/>
    </xf>
    <xf numFmtId="0" fontId="41" fillId="3" borderId="5" xfId="5" applyFont="1" applyBorder="1" applyAlignment="1">
      <alignment horizontal="center" vertical="center"/>
    </xf>
    <xf numFmtId="0" fontId="9" fillId="0" borderId="0" xfId="0" applyFont="1">
      <alignment vertical="center"/>
    </xf>
    <xf numFmtId="0" fontId="19" fillId="17" borderId="0" xfId="0" applyFont="1" applyFill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9" fillId="5" borderId="5" xfId="6" applyFont="1" applyBorder="1" applyAlignment="1">
      <alignment horizontal="center" vertical="center"/>
    </xf>
    <xf numFmtId="0" fontId="20" fillId="5" borderId="4" xfId="6" applyFont="1" applyAlignment="1">
      <alignment horizontal="center" vertical="center"/>
    </xf>
    <xf numFmtId="0" fontId="20" fillId="5" borderId="8" xfId="6" applyFont="1" applyBorder="1" applyAlignment="1">
      <alignment horizontal="center" vertical="center"/>
    </xf>
    <xf numFmtId="0" fontId="21" fillId="5" borderId="8" xfId="6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9" fillId="5" borderId="4" xfId="6" applyFont="1" applyAlignment="1">
      <alignment horizontal="center" vertical="center"/>
    </xf>
    <xf numFmtId="0" fontId="24" fillId="19" borderId="14" xfId="0" applyFont="1" applyFill="1" applyBorder="1" applyAlignment="1">
      <alignment horizontal="center" vertical="center" wrapText="1"/>
    </xf>
    <xf numFmtId="0" fontId="24" fillId="19" borderId="15" xfId="0" applyFont="1" applyFill="1" applyBorder="1" applyAlignment="1">
      <alignment horizontal="center" vertical="center" wrapText="1"/>
    </xf>
    <xf numFmtId="0" fontId="23" fillId="19" borderId="13" xfId="0" applyFont="1" applyFill="1" applyBorder="1" applyAlignment="1">
      <alignment horizontal="center" vertical="center" wrapText="1"/>
    </xf>
    <xf numFmtId="0" fontId="23" fillId="19" borderId="16" xfId="0" applyFont="1" applyFill="1" applyBorder="1" applyAlignment="1">
      <alignment horizontal="center" vertical="center" wrapText="1"/>
    </xf>
    <xf numFmtId="0" fontId="0" fillId="5" borderId="28" xfId="6" applyFont="1" applyBorder="1" applyAlignment="1">
      <alignment horizontal="left" vertical="center"/>
    </xf>
    <xf numFmtId="0" fontId="0" fillId="5" borderId="0" xfId="6" applyFont="1" applyBorder="1" applyAlignment="1">
      <alignment horizontal="left" vertical="center"/>
    </xf>
    <xf numFmtId="0" fontId="16" fillId="28" borderId="5" xfId="0" applyFont="1" applyFill="1" applyBorder="1" applyAlignment="1">
      <alignment horizontal="center" vertical="center"/>
    </xf>
    <xf numFmtId="0" fontId="16" fillId="28" borderId="10" xfId="0" applyFont="1" applyFill="1" applyBorder="1" applyAlignment="1">
      <alignment horizontal="left" vertical="center"/>
    </xf>
    <xf numFmtId="0" fontId="16" fillId="28" borderId="12" xfId="0" applyFont="1" applyFill="1" applyBorder="1" applyAlignment="1">
      <alignment horizontal="left" vertical="center"/>
    </xf>
    <xf numFmtId="0" fontId="13" fillId="16" borderId="10" xfId="0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0" fontId="13" fillId="16" borderId="10" xfId="0" applyFont="1" applyFill="1" applyBorder="1" applyAlignment="1">
      <alignment horizontal="left" vertical="center"/>
    </xf>
    <xf numFmtId="0" fontId="16" fillId="16" borderId="12" xfId="0" applyFont="1" applyFill="1" applyBorder="1" applyAlignment="1">
      <alignment horizontal="left" vertical="center"/>
    </xf>
    <xf numFmtId="0" fontId="37" fillId="5" borderId="28" xfId="6" applyFont="1" applyBorder="1" applyAlignment="1">
      <alignment horizontal="center" vertical="center"/>
    </xf>
    <xf numFmtId="0" fontId="37" fillId="5" borderId="0" xfId="6" applyFont="1" applyBorder="1" applyAlignment="1">
      <alignment horizontal="center" vertical="center"/>
    </xf>
    <xf numFmtId="0" fontId="19" fillId="17" borderId="0" xfId="6" applyFont="1" applyFill="1" applyBorder="1" applyAlignment="1">
      <alignment horizontal="center" vertical="center"/>
    </xf>
    <xf numFmtId="0" fontId="0" fillId="16" borderId="12" xfId="0" applyFill="1" applyBorder="1" applyAlignment="1">
      <alignment horizontal="center" vertical="center"/>
    </xf>
    <xf numFmtId="0" fontId="0" fillId="16" borderId="5" xfId="0" applyFill="1" applyBorder="1" applyAlignment="1">
      <alignment horizontal="center" vertical="center"/>
    </xf>
    <xf numFmtId="49" fontId="50" fillId="3" borderId="83" xfId="4" applyNumberFormat="1" applyFont="1" applyBorder="1" applyAlignment="1">
      <alignment horizontal="center" vertical="center"/>
    </xf>
    <xf numFmtId="49" fontId="50" fillId="3" borderId="82" xfId="4" applyNumberFormat="1" applyFont="1" applyBorder="1" applyAlignment="1">
      <alignment horizontal="center" vertical="center"/>
    </xf>
    <xf numFmtId="49" fontId="50" fillId="3" borderId="84" xfId="4" applyNumberFormat="1" applyFont="1" applyBorder="1" applyAlignment="1">
      <alignment horizontal="center" vertical="center"/>
    </xf>
    <xf numFmtId="0" fontId="41" fillId="0" borderId="60" xfId="0" applyFont="1" applyBorder="1" applyAlignment="1">
      <alignment horizontal="center" vertical="center"/>
    </xf>
    <xf numFmtId="0" fontId="41" fillId="0" borderId="61" xfId="0" applyFont="1" applyBorder="1" applyAlignment="1">
      <alignment horizontal="center" vertical="center"/>
    </xf>
    <xf numFmtId="0" fontId="41" fillId="38" borderId="64" xfId="0" applyFont="1" applyFill="1" applyBorder="1" applyAlignment="1">
      <alignment horizontal="center" vertical="center" wrapText="1"/>
    </xf>
    <xf numFmtId="0" fontId="41" fillId="38" borderId="60" xfId="0" applyFont="1" applyFill="1" applyBorder="1" applyAlignment="1">
      <alignment horizontal="center" vertical="center" wrapText="1"/>
    </xf>
    <xf numFmtId="0" fontId="41" fillId="38" borderId="42" xfId="0" applyFont="1" applyFill="1" applyBorder="1" applyAlignment="1">
      <alignment horizontal="center" vertical="center"/>
    </xf>
    <xf numFmtId="0" fontId="41" fillId="38" borderId="44" xfId="0" applyFont="1" applyFill="1" applyBorder="1" applyAlignment="1">
      <alignment horizontal="center" vertical="center"/>
    </xf>
    <xf numFmtId="0" fontId="41" fillId="25" borderId="51" xfId="0" applyFont="1" applyFill="1" applyBorder="1" applyAlignment="1">
      <alignment horizontal="center" vertical="center" wrapText="1"/>
    </xf>
    <xf numFmtId="0" fontId="42" fillId="32" borderId="52" xfId="0" applyFont="1" applyFill="1" applyBorder="1" applyAlignment="1">
      <alignment horizontal="center" vertical="center" textRotation="255" wrapText="1"/>
    </xf>
    <xf numFmtId="0" fontId="42" fillId="32" borderId="47" xfId="0" applyFont="1" applyFill="1" applyBorder="1" applyAlignment="1">
      <alignment horizontal="center" vertical="center" textRotation="255" wrapText="1"/>
    </xf>
    <xf numFmtId="0" fontId="42" fillId="32" borderId="51" xfId="0" applyFont="1" applyFill="1" applyBorder="1" applyAlignment="1">
      <alignment horizontal="center" vertical="center" textRotation="255" wrapText="1"/>
    </xf>
    <xf numFmtId="0" fontId="42" fillId="32" borderId="55" xfId="0" applyFont="1" applyFill="1" applyBorder="1" applyAlignment="1">
      <alignment horizontal="center" vertical="center" textRotation="255" wrapText="1"/>
    </xf>
    <xf numFmtId="0" fontId="42" fillId="32" borderId="53" xfId="0" applyFont="1" applyFill="1" applyBorder="1" applyAlignment="1">
      <alignment horizontal="center" vertical="center" textRotation="255" wrapText="1"/>
    </xf>
    <xf numFmtId="0" fontId="42" fillId="32" borderId="57" xfId="0" applyFont="1" applyFill="1" applyBorder="1" applyAlignment="1">
      <alignment horizontal="center" vertical="center" textRotation="255" wrapText="1"/>
    </xf>
    <xf numFmtId="0" fontId="11" fillId="30" borderId="42" xfId="24" applyFont="1" applyFill="1" applyBorder="1" applyAlignment="1">
      <alignment horizontal="center" vertical="center"/>
    </xf>
    <xf numFmtId="0" fontId="40" fillId="30" borderId="43" xfId="24" applyFont="1" applyFill="1" applyBorder="1" applyAlignment="1">
      <alignment horizontal="center" vertical="center"/>
    </xf>
    <xf numFmtId="0" fontId="40" fillId="30" borderId="44" xfId="24" applyFont="1" applyFill="1" applyBorder="1" applyAlignment="1">
      <alignment horizontal="center" vertical="center"/>
    </xf>
    <xf numFmtId="0" fontId="26" fillId="31" borderId="45" xfId="0" applyFont="1" applyFill="1" applyBorder="1" applyAlignment="1">
      <alignment horizontal="center" vertical="center" wrapText="1"/>
    </xf>
    <xf numFmtId="0" fontId="26" fillId="31" borderId="46" xfId="0" applyFont="1" applyFill="1" applyBorder="1" applyAlignment="1">
      <alignment horizontal="center" vertical="center" wrapText="1"/>
    </xf>
    <xf numFmtId="0" fontId="26" fillId="31" borderId="47" xfId="0" applyFont="1" applyFill="1" applyBorder="1" applyAlignment="1">
      <alignment horizontal="center" vertical="center" wrapText="1"/>
    </xf>
    <xf numFmtId="0" fontId="26" fillId="31" borderId="48" xfId="0" applyFont="1" applyFill="1" applyBorder="1" applyAlignment="1">
      <alignment horizontal="center" vertical="center" wrapText="1"/>
    </xf>
    <xf numFmtId="0" fontId="26" fillId="31" borderId="49" xfId="0" applyFont="1" applyFill="1" applyBorder="1" applyAlignment="1">
      <alignment horizontal="center" vertical="center" wrapText="1"/>
    </xf>
    <xf numFmtId="0" fontId="19" fillId="5" borderId="28" xfId="6" applyFont="1" applyBorder="1" applyAlignment="1">
      <alignment horizontal="center" vertical="center"/>
    </xf>
    <xf numFmtId="0" fontId="19" fillId="5" borderId="0" xfId="6" applyFont="1" applyBorder="1" applyAlignment="1">
      <alignment horizontal="center" vertical="center"/>
    </xf>
    <xf numFmtId="0" fontId="4" fillId="3" borderId="77" xfId="5" applyBorder="1" applyAlignment="1">
      <alignment horizontal="center" vertical="center"/>
    </xf>
    <xf numFmtId="0" fontId="4" fillId="3" borderId="78" xfId="5" applyBorder="1" applyAlignment="1">
      <alignment horizontal="center" vertical="center"/>
    </xf>
    <xf numFmtId="0" fontId="4" fillId="3" borderId="41" xfId="5" applyBorder="1" applyAlignment="1">
      <alignment horizontal="right" vertical="center"/>
    </xf>
    <xf numFmtId="0" fontId="16" fillId="0" borderId="5" xfId="0" applyFont="1" applyBorder="1" applyAlignment="1">
      <alignment horizontal="center" vertical="center"/>
    </xf>
    <xf numFmtId="0" fontId="49" fillId="2" borderId="71" xfId="3" applyFont="1" applyBorder="1" applyAlignment="1">
      <alignment horizontal="center" vertical="center"/>
    </xf>
    <xf numFmtId="0" fontId="49" fillId="2" borderId="72" xfId="3" applyFont="1" applyBorder="1" applyAlignment="1">
      <alignment horizontal="center" vertical="center"/>
    </xf>
    <xf numFmtId="0" fontId="49" fillId="2" borderId="73" xfId="3" applyFont="1" applyBorder="1" applyAlignment="1">
      <alignment horizontal="center" vertical="center"/>
    </xf>
    <xf numFmtId="0" fontId="49" fillId="2" borderId="74" xfId="3" applyFont="1" applyBorder="1" applyAlignment="1">
      <alignment horizontal="center" vertical="center"/>
    </xf>
    <xf numFmtId="0" fontId="4" fillId="3" borderId="0" xfId="5" applyBorder="1" applyAlignment="1">
      <alignment horizontal="right" vertical="center"/>
    </xf>
  </cellXfs>
  <cellStyles count="30">
    <cellStyle name="60% - 강조색1" xfId="7" builtinId="32"/>
    <cellStyle name="60% - 강조색1 2" xfId="8" xr:uid="{00000000-0005-0000-0000-000001000000}"/>
    <cellStyle name="60% - 강조색2 2" xfId="9" xr:uid="{00000000-0005-0000-0000-000002000000}"/>
    <cellStyle name="60% - 강조색3 2" xfId="10" xr:uid="{00000000-0005-0000-0000-000003000000}"/>
    <cellStyle name="60% - 강조색4 2" xfId="11" xr:uid="{00000000-0005-0000-0000-000004000000}"/>
    <cellStyle name="60% - 강조색5 2" xfId="12" xr:uid="{00000000-0005-0000-0000-000005000000}"/>
    <cellStyle name="강조색1 2" xfId="13" xr:uid="{00000000-0005-0000-0000-000006000000}"/>
    <cellStyle name="강조색2 2" xfId="14" xr:uid="{00000000-0005-0000-0000-000007000000}"/>
    <cellStyle name="강조색3 2" xfId="15" xr:uid="{00000000-0005-0000-0000-000008000000}"/>
    <cellStyle name="강조색4 2" xfId="16" xr:uid="{00000000-0005-0000-0000-000009000000}"/>
    <cellStyle name="강조색5 2" xfId="17" xr:uid="{00000000-0005-0000-0000-00000A000000}"/>
    <cellStyle name="계산" xfId="5" builtinId="22"/>
    <cellStyle name="계산 2" xfId="18" xr:uid="{00000000-0005-0000-0000-00000C000000}"/>
    <cellStyle name="나쁨" xfId="24" builtinId="27"/>
    <cellStyle name="메모" xfId="6" builtinId="10"/>
    <cellStyle name="메모 2" xfId="29" xr:uid="{00000000-0005-0000-0000-00000F000000}"/>
    <cellStyle name="백분율" xfId="2" builtinId="5"/>
    <cellStyle name="백분율 2" xfId="19" xr:uid="{00000000-0005-0000-0000-000011000000}"/>
    <cellStyle name="보통" xfId="25" builtinId="28"/>
    <cellStyle name="셀 확인 2" xfId="28" xr:uid="{00000000-0005-0000-0000-000013000000}"/>
    <cellStyle name="쉼표 [0]" xfId="1" builtinId="6"/>
    <cellStyle name="쉼표 [0] 2" xfId="27" xr:uid="{00000000-0005-0000-0000-000015000000}"/>
    <cellStyle name="입력" xfId="3" builtinId="20"/>
    <cellStyle name="좋음" xfId="23" builtinId="26"/>
    <cellStyle name="출력" xfId="4" builtinId="21"/>
    <cellStyle name="표준" xfId="0" builtinId="0"/>
    <cellStyle name="표준 2" xfId="20" xr:uid="{00000000-0005-0000-0000-00001A000000}"/>
    <cellStyle name="표준 2 2" xfId="21" xr:uid="{00000000-0005-0000-0000-00001B000000}"/>
    <cellStyle name="표준 2 3" xfId="22" xr:uid="{00000000-0005-0000-0000-00001C000000}"/>
    <cellStyle name="표준_QFD-1" xfId="26" xr:uid="{00000000-0005-0000-0000-00001D000000}"/>
  </cellStyles>
  <dxfs count="4">
    <dxf>
      <fill>
        <patternFill>
          <bgColor rgb="FFFFFF00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FFCC"/>
      <color rgb="FF00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7483761462302503E-2"/>
          <c:y val="2.5906779446613667E-2"/>
          <c:w val="0.88611760593775646"/>
          <c:h val="0.803110162845022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'만족계수 그래프'!$D$4</c:f>
              <c:strCache>
                <c:ptCount val="1"/>
                <c:pt idx="0">
                  <c:v>만족계수</c:v>
                </c:pt>
              </c:strCache>
            </c:strRef>
          </c:tx>
          <c:spPr>
            <a:solidFill>
              <a:srgbClr val="FF6600"/>
            </a:solidFill>
            <a:ln w="25400">
              <a:noFill/>
            </a:ln>
          </c:spPr>
          <c:invertIfNegative val="0"/>
          <c:val>
            <c:numRef>
              <c:f>'만족계수 그래프'!$D$5:$D$39</c:f>
              <c:numCache>
                <c:formatCode>0.000_ 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'만족계수 그래프'!$C$5:$C$39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B0B-4848-AA10-D6FE99E6887F}"/>
            </c:ext>
          </c:extLst>
        </c:ser>
        <c:ser>
          <c:idx val="1"/>
          <c:order val="1"/>
          <c:tx>
            <c:strRef>
              <c:f>'만족계수 그래프'!$E$4</c:f>
              <c:strCache>
                <c:ptCount val="1"/>
                <c:pt idx="0">
                  <c:v>불만족계수</c:v>
                </c:pt>
              </c:strCache>
            </c:strRef>
          </c:tx>
          <c:spPr>
            <a:solidFill>
              <a:srgbClr val="FFCC00"/>
            </a:solidFill>
            <a:ln w="25400">
              <a:noFill/>
            </a:ln>
          </c:spPr>
          <c:invertIfNegative val="0"/>
          <c:val>
            <c:numRef>
              <c:f>'만족계수 그래프'!$E$5:$E$39</c:f>
              <c:numCache>
                <c:formatCode>0.000_ </c:formatCode>
                <c:ptCount val="3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'만족계수 그래프'!$C$5:$C$39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B0B-4848-AA10-D6FE99E68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8176408"/>
        <c:axId val="338176800"/>
      </c:barChart>
      <c:catAx>
        <c:axId val="338176408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381768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338176800"/>
        <c:scaling>
          <c:orientation val="minMax"/>
          <c:min val="-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_ 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ko-KR"/>
          </a:p>
        </c:txPr>
        <c:crossAx val="338176408"/>
        <c:crosses val="autoZero"/>
        <c:crossBetween val="between"/>
        <c:majorUnit val="0.2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338751738158325"/>
          <c:y val="0.934371096694675"/>
          <c:w val="0.49566299381659445"/>
          <c:h val="5.526777706245833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돋움"/>
              <a:ea typeface="돋움"/>
              <a:cs typeface="돋움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ko-KR"/>
    </a:p>
  </c:txPr>
  <c:printSettings>
    <c:headerFooter alignWithMargins="0"/>
    <c:pageMargins b="1" l="0.75000000000000044" r="0.75000000000000044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2349518810148731E-2"/>
          <c:y val="5.1400554097404488E-2"/>
          <c:w val="0.84859492563429562"/>
          <c:h val="0.8326195683872849"/>
        </c:manualLayout>
      </c:layout>
      <c:lineChart>
        <c:grouping val="standard"/>
        <c:varyColors val="0"/>
        <c:ser>
          <c:idx val="0"/>
          <c:order val="0"/>
          <c:tx>
            <c:strRef>
              <c:f>자금소요계획표!$C$4</c:f>
              <c:strCache>
                <c:ptCount val="1"/>
                <c:pt idx="0">
                  <c:v>매출액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자금소요계획표!$D$3:$F$3</c:f>
              <c:strCache>
                <c:ptCount val="3"/>
                <c:pt idx="0">
                  <c:v>Y+1년차</c:v>
                </c:pt>
                <c:pt idx="1">
                  <c:v>Y+2년차</c:v>
                </c:pt>
                <c:pt idx="2">
                  <c:v>Y+3년차</c:v>
                </c:pt>
              </c:strCache>
            </c:strRef>
          </c:cat>
          <c:val>
            <c:numRef>
              <c:f>자금소요계획표!$D$4:$F$4</c:f>
              <c:numCache>
                <c:formatCode>#,##0_);[Red]\(#,##0\)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5-4639-8ED7-1DBB7FD1E73F}"/>
            </c:ext>
          </c:extLst>
        </c:ser>
        <c:ser>
          <c:idx val="1"/>
          <c:order val="1"/>
          <c:tx>
            <c:strRef>
              <c:f>자금소요계획표!$C$10</c:f>
              <c:strCache>
                <c:ptCount val="1"/>
                <c:pt idx="0">
                  <c:v>소요자금 합계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자금소요계획표!$D$3:$F$3</c:f>
              <c:strCache>
                <c:ptCount val="3"/>
                <c:pt idx="0">
                  <c:v>Y+1년차</c:v>
                </c:pt>
                <c:pt idx="1">
                  <c:v>Y+2년차</c:v>
                </c:pt>
                <c:pt idx="2">
                  <c:v>Y+3년차</c:v>
                </c:pt>
              </c:strCache>
            </c:strRef>
          </c:cat>
          <c:val>
            <c:numRef>
              <c:f>자금소요계획표!$D$10:$F$10</c:f>
              <c:numCache>
                <c:formatCode>"₩"#,##0_);[Red]\("₩"#,##0\)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75-4639-8ED7-1DBB7FD1E7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8177976"/>
        <c:axId val="338178368"/>
      </c:lineChart>
      <c:catAx>
        <c:axId val="3381779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338178368"/>
        <c:crosses val="autoZero"/>
        <c:auto val="1"/>
        <c:lblAlgn val="ctr"/>
        <c:lblOffset val="100"/>
        <c:noMultiLvlLbl val="0"/>
      </c:catAx>
      <c:valAx>
        <c:axId val="338178368"/>
        <c:scaling>
          <c:orientation val="minMax"/>
        </c:scaling>
        <c:delete val="0"/>
        <c:axPos val="l"/>
        <c:majorGridlines/>
        <c:numFmt formatCode="#,##0_);[Red]\(#,##0\)" sourceLinked="1"/>
        <c:majorTickMark val="out"/>
        <c:minorTickMark val="none"/>
        <c:tickLblPos val="nextTo"/>
        <c:crossAx val="338177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8055555555555554"/>
          <c:y val="3.2023549139690875E-2"/>
          <c:w val="0.57222222222222219"/>
          <c:h val="9.7989938757655298E-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3</xdr:row>
      <xdr:rowOff>28574</xdr:rowOff>
    </xdr:from>
    <xdr:to>
      <xdr:col>18</xdr:col>
      <xdr:colOff>0</xdr:colOff>
      <xdr:row>38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419100</xdr:colOff>
      <xdr:row>6</xdr:row>
      <xdr:rowOff>0</xdr:rowOff>
    </xdr:from>
    <xdr:to>
      <xdr:col>24</xdr:col>
      <xdr:colOff>257175</xdr:colOff>
      <xdr:row>22</xdr:row>
      <xdr:rowOff>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pSpPr>
          <a:grpSpLocks/>
        </xdr:cNvGrpSpPr>
      </xdr:nvGrpSpPr>
      <xdr:grpSpPr bwMode="auto">
        <a:xfrm>
          <a:off x="13784580" y="1203960"/>
          <a:ext cx="3952875" cy="3169920"/>
          <a:chOff x="937" y="395"/>
          <a:chExt cx="4701" cy="3498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00000000-0008-0000-0D00-00000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31680" t="19167" r="9570" b="10896"/>
          <a:stretch>
            <a:fillRect/>
          </a:stretch>
        </xdr:blipFill>
        <xdr:spPr bwMode="auto">
          <a:xfrm>
            <a:off x="937" y="395"/>
            <a:ext cx="4701" cy="349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1270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D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2159" y="404"/>
            <a:ext cx="576" cy="224"/>
          </a:xfrm>
          <a:prstGeom prst="rect">
            <a:avLst/>
          </a:prstGeom>
          <a:solidFill>
            <a:srgbClr val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12700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27214</xdr:rowOff>
    </xdr:from>
    <xdr:to>
      <xdr:col>1</xdr:col>
      <xdr:colOff>612648</xdr:colOff>
      <xdr:row>13</xdr:row>
      <xdr:rowOff>365768</xdr:rowOff>
    </xdr:to>
    <xdr:sp macro="" textlink="">
      <xdr:nvSpPr>
        <xdr:cNvPr id="2" name="TextBox 9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0" y="6068785"/>
          <a:ext cx="1293005" cy="338554"/>
        </a:xfrm>
        <a:prstGeom prst="rect">
          <a:avLst/>
        </a:prstGeom>
        <a:solidFill>
          <a:srgbClr val="CCECFF"/>
        </a:solidFill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9pPr>
        </a:lstStyle>
        <a:p>
          <a:r>
            <a:rPr lang="ko-KR" altLang="en-US" sz="1600">
              <a:latin typeface="HY견고딕" panose="02030600000101010101" pitchFamily="18" charset="-127"/>
              <a:ea typeface="HY견고딕" panose="02030600000101010101" pitchFamily="18" charset="-127"/>
            </a:rPr>
            <a:t>당연적 품질</a:t>
          </a:r>
        </a:p>
      </xdr:txBody>
    </xdr:sp>
    <xdr:clientData/>
  </xdr:twoCellAnchor>
  <xdr:twoCellAnchor>
    <xdr:from>
      <xdr:col>0</xdr:col>
      <xdr:colOff>0</xdr:colOff>
      <xdr:row>0</xdr:row>
      <xdr:rowOff>28575</xdr:rowOff>
    </xdr:from>
    <xdr:to>
      <xdr:col>1</xdr:col>
      <xdr:colOff>612648</xdr:colOff>
      <xdr:row>1</xdr:row>
      <xdr:rowOff>157579</xdr:rowOff>
    </xdr:to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 txBox="1"/>
      </xdr:nvSpPr>
      <xdr:spPr>
        <a:xfrm>
          <a:off x="0" y="28575"/>
          <a:ext cx="1298448" cy="338554"/>
        </a:xfrm>
        <a:prstGeom prst="rect">
          <a:avLst/>
        </a:prstGeom>
        <a:solidFill>
          <a:srgbClr val="CCECFF"/>
        </a:solidFill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9pPr>
        </a:lstStyle>
        <a:p>
          <a:r>
            <a:rPr lang="ko-KR" altLang="en-US" sz="1600">
              <a:latin typeface="HY견고딕" panose="02030600000101010101" pitchFamily="18" charset="-127"/>
              <a:ea typeface="HY견고딕" panose="02030600000101010101" pitchFamily="18" charset="-127"/>
            </a:rPr>
            <a:t>일원적 품질</a:t>
          </a:r>
        </a:p>
      </xdr:txBody>
    </xdr:sp>
    <xdr:clientData/>
  </xdr:twoCellAnchor>
  <xdr:twoCellAnchor>
    <xdr:from>
      <xdr:col>11</xdr:col>
      <xdr:colOff>0</xdr:colOff>
      <xdr:row>0</xdr:row>
      <xdr:rowOff>95251</xdr:rowOff>
    </xdr:from>
    <xdr:to>
      <xdr:col>12</xdr:col>
      <xdr:colOff>612648</xdr:colOff>
      <xdr:row>1</xdr:row>
      <xdr:rowOff>229698</xdr:rowOff>
    </xdr:to>
    <xdr:sp macro="" textlink="">
      <xdr:nvSpPr>
        <xdr:cNvPr id="5" name="TextBox 6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>
        <a:xfrm>
          <a:off x="7456714" y="95251"/>
          <a:ext cx="1293005" cy="338554"/>
        </a:xfrm>
        <a:prstGeom prst="rect">
          <a:avLst/>
        </a:prstGeom>
        <a:solidFill>
          <a:srgbClr val="CCECFF"/>
        </a:solidFill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9pPr>
        </a:lstStyle>
        <a:p>
          <a:r>
            <a:rPr lang="ko-KR" altLang="en-US" sz="1600">
              <a:latin typeface="HY견고딕" panose="02030600000101010101" pitchFamily="18" charset="-127"/>
              <a:ea typeface="HY견고딕" panose="02030600000101010101" pitchFamily="18" charset="-127"/>
            </a:rPr>
            <a:t>매력적 품질</a:t>
          </a:r>
        </a:p>
      </xdr:txBody>
    </xdr:sp>
    <xdr:clientData/>
  </xdr:twoCellAnchor>
  <xdr:twoCellAnchor>
    <xdr:from>
      <xdr:col>10</xdr:col>
      <xdr:colOff>552450</xdr:colOff>
      <xdr:row>13</xdr:row>
      <xdr:rowOff>9525</xdr:rowOff>
    </xdr:from>
    <xdr:to>
      <xdr:col>12</xdr:col>
      <xdr:colOff>479298</xdr:colOff>
      <xdr:row>13</xdr:row>
      <xdr:rowOff>348079</xdr:rowOff>
    </xdr:to>
    <xdr:sp macro="" textlink="">
      <xdr:nvSpPr>
        <xdr:cNvPr id="6" name="TextBox 8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/>
      </xdr:nvSpPr>
      <xdr:spPr>
        <a:xfrm>
          <a:off x="7372350" y="6115050"/>
          <a:ext cx="1298448" cy="338554"/>
        </a:xfrm>
        <a:prstGeom prst="rect">
          <a:avLst/>
        </a:prstGeom>
        <a:solidFill>
          <a:srgbClr val="CCECFF"/>
        </a:solidFill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1pPr>
          <a:lvl2pPr marL="457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2pPr>
          <a:lvl3pPr marL="914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3pPr>
          <a:lvl4pPr marL="1371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4pPr>
          <a:lvl5pPr marL="18288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5pPr>
          <a:lvl6pPr marL="22860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6pPr>
          <a:lvl7pPr marL="27432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7pPr>
          <a:lvl8pPr marL="32004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8pPr>
          <a:lvl9pPr marL="3657600" algn="l" defTabSz="914400" rtl="0" eaLnBrk="1" latinLnBrk="1" hangingPunct="1">
            <a:defRPr sz="1800" kern="1200">
              <a:solidFill>
                <a:sysClr val="windowText" lastClr="000000"/>
              </a:solidFill>
              <a:latin typeface="맑은 고딕" panose="020F0502020204030204"/>
            </a:defRPr>
          </a:lvl9pPr>
        </a:lstStyle>
        <a:p>
          <a:r>
            <a:rPr lang="ko-KR" altLang="en-US" sz="1600">
              <a:latin typeface="HY견고딕" panose="02030600000101010101" pitchFamily="18" charset="-127"/>
              <a:ea typeface="HY견고딕" panose="02030600000101010101" pitchFamily="18" charset="-127"/>
            </a:rPr>
            <a:t>무관심 품질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971550</xdr:colOff>
      <xdr:row>10</xdr:row>
      <xdr:rowOff>104775</xdr:rowOff>
    </xdr:from>
    <xdr:to>
      <xdr:col>5</xdr:col>
      <xdr:colOff>161925</xdr:colOff>
      <xdr:row>23</xdr:row>
      <xdr:rowOff>123825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9998168889431442"/>
  </sheetPr>
  <dimension ref="B2:E21"/>
  <sheetViews>
    <sheetView tabSelected="1" topLeftCell="A8" zoomScale="115" zoomScaleNormal="115" workbookViewId="0">
      <selection activeCell="B2" sqref="B2:E2"/>
    </sheetView>
  </sheetViews>
  <sheetFormatPr defaultRowHeight="17.399999999999999" x14ac:dyDescent="0.4"/>
  <cols>
    <col min="1" max="1" width="3.5" customWidth="1"/>
    <col min="2" max="2" width="8.5" customWidth="1"/>
    <col min="3" max="3" width="21.09765625" customWidth="1"/>
    <col min="4" max="4" width="23.69921875" customWidth="1"/>
    <col min="5" max="5" width="20.8984375" customWidth="1"/>
    <col min="6" max="6" width="1.8984375" customWidth="1"/>
  </cols>
  <sheetData>
    <row r="2" spans="2:5" ht="21.75" customHeight="1" x14ac:dyDescent="0.4">
      <c r="B2" s="252" t="s">
        <v>204</v>
      </c>
      <c r="C2" s="252"/>
      <c r="D2" s="252"/>
      <c r="E2" s="252"/>
    </row>
    <row r="3" spans="2:5" x14ac:dyDescent="0.4">
      <c r="E3" t="s">
        <v>159</v>
      </c>
    </row>
    <row r="4" spans="2:5" ht="24" customHeight="1" x14ac:dyDescent="0.4">
      <c r="B4" s="240" t="s">
        <v>0</v>
      </c>
      <c r="C4" s="240" t="s">
        <v>1</v>
      </c>
      <c r="D4" s="240" t="s">
        <v>2</v>
      </c>
      <c r="E4" s="240" t="s">
        <v>3</v>
      </c>
    </row>
    <row r="5" spans="2:5" ht="24.75" customHeight="1" x14ac:dyDescent="0.4">
      <c r="B5" s="240">
        <v>1</v>
      </c>
      <c r="C5" s="241"/>
      <c r="D5" s="241"/>
      <c r="E5" s="241"/>
    </row>
    <row r="6" spans="2:5" ht="24.75" customHeight="1" x14ac:dyDescent="0.4">
      <c r="B6" s="240">
        <v>2</v>
      </c>
      <c r="C6" s="241"/>
      <c r="D6" s="241"/>
      <c r="E6" s="241"/>
    </row>
    <row r="7" spans="2:5" ht="24.75" customHeight="1" x14ac:dyDescent="0.4">
      <c r="B7" s="240">
        <v>3</v>
      </c>
      <c r="C7" s="241"/>
      <c r="D7" s="241"/>
      <c r="E7" s="241"/>
    </row>
    <row r="8" spans="2:5" ht="24.75" customHeight="1" x14ac:dyDescent="0.4">
      <c r="B8" s="240">
        <v>4</v>
      </c>
      <c r="C8" s="241"/>
      <c r="D8" s="241"/>
      <c r="E8" s="241"/>
    </row>
    <row r="9" spans="2:5" ht="24.75" customHeight="1" x14ac:dyDescent="0.4">
      <c r="B9" s="240">
        <v>5</v>
      </c>
      <c r="C9" s="241"/>
      <c r="D9" s="241"/>
      <c r="E9" s="241"/>
    </row>
    <row r="10" spans="2:5" x14ac:dyDescent="0.4">
      <c r="B10" s="253"/>
      <c r="C10" s="254"/>
      <c r="D10" s="242">
        <f>SUM(D5:D9)</f>
        <v>0</v>
      </c>
      <c r="E10" s="243"/>
    </row>
    <row r="11" spans="2:5" x14ac:dyDescent="0.4">
      <c r="B11" s="243"/>
      <c r="C11" s="243"/>
      <c r="D11" s="243"/>
      <c r="E11" s="243"/>
    </row>
    <row r="12" spans="2:5" ht="24" customHeight="1" x14ac:dyDescent="0.4">
      <c r="B12" s="252" t="s">
        <v>183</v>
      </c>
      <c r="C12" s="252"/>
      <c r="D12" s="252"/>
      <c r="E12" s="252"/>
    </row>
    <row r="13" spans="2:5" x14ac:dyDescent="0.4">
      <c r="B13" s="243"/>
      <c r="C13" s="243"/>
      <c r="D13" s="243"/>
      <c r="E13" s="251" t="s">
        <v>159</v>
      </c>
    </row>
    <row r="14" spans="2:5" ht="25.5" customHeight="1" x14ac:dyDescent="0.4">
      <c r="B14" s="240" t="s">
        <v>0</v>
      </c>
      <c r="C14" s="240" t="s">
        <v>1</v>
      </c>
      <c r="D14" s="240" t="s">
        <v>2</v>
      </c>
      <c r="E14" s="240" t="s">
        <v>3</v>
      </c>
    </row>
    <row r="15" spans="2:5" ht="25.5" customHeight="1" x14ac:dyDescent="0.4">
      <c r="B15" s="240">
        <v>1</v>
      </c>
      <c r="C15" s="241"/>
      <c r="D15" s="244"/>
      <c r="E15" s="241"/>
    </row>
    <row r="16" spans="2:5" ht="25.5" customHeight="1" x14ac:dyDescent="0.4">
      <c r="B16" s="240">
        <v>2</v>
      </c>
      <c r="C16" s="241"/>
      <c r="D16" s="244"/>
      <c r="E16" s="241"/>
    </row>
    <row r="17" spans="2:5" ht="25.5" customHeight="1" x14ac:dyDescent="0.4">
      <c r="B17" s="240">
        <v>3</v>
      </c>
      <c r="C17" s="241"/>
      <c r="D17" s="244"/>
      <c r="E17" s="241"/>
    </row>
    <row r="18" spans="2:5" ht="25.5" customHeight="1" x14ac:dyDescent="0.4">
      <c r="B18" s="240">
        <v>4</v>
      </c>
      <c r="C18" s="241"/>
      <c r="D18" s="244"/>
      <c r="E18" s="241"/>
    </row>
    <row r="19" spans="2:5" ht="25.5" customHeight="1" x14ac:dyDescent="0.4">
      <c r="B19" s="240">
        <v>5</v>
      </c>
      <c r="C19" s="241"/>
      <c r="D19" s="244"/>
      <c r="E19" s="241"/>
    </row>
    <row r="20" spans="2:5" x14ac:dyDescent="0.4">
      <c r="B20" s="253" t="s">
        <v>4</v>
      </c>
      <c r="C20" s="254"/>
      <c r="D20" s="245">
        <f>SUM(D15:D19)</f>
        <v>0</v>
      </c>
      <c r="E20" s="228"/>
    </row>
    <row r="21" spans="2:5" x14ac:dyDescent="0.4">
      <c r="B21" s="243"/>
      <c r="C21" s="243"/>
      <c r="D21" s="243"/>
      <c r="E21" s="243"/>
    </row>
  </sheetData>
  <mergeCells count="4">
    <mergeCell ref="B2:E2"/>
    <mergeCell ref="B10:C10"/>
    <mergeCell ref="B12:E12"/>
    <mergeCell ref="B20:C20"/>
  </mergeCells>
  <phoneticPr fontId="6" type="noConversion"/>
  <pageMargins left="0.25" right="0.25" top="0.75" bottom="0.75" header="0.3" footer="0.3"/>
  <pageSetup paperSize="9" orientation="portrait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D20"/>
  <sheetViews>
    <sheetView zoomScale="115" zoomScaleNormal="115" workbookViewId="0">
      <selection activeCell="D24" sqref="D24"/>
    </sheetView>
  </sheetViews>
  <sheetFormatPr defaultRowHeight="17.399999999999999" x14ac:dyDescent="0.4"/>
  <cols>
    <col min="2" max="2" width="13.69921875" customWidth="1"/>
    <col min="3" max="3" width="16.19921875" customWidth="1"/>
    <col min="4" max="4" width="35.19921875" customWidth="1"/>
  </cols>
  <sheetData>
    <row r="4" spans="2:4" x14ac:dyDescent="0.4">
      <c r="B4" s="255" t="s">
        <v>180</v>
      </c>
      <c r="C4" s="255"/>
      <c r="D4" s="255"/>
    </row>
    <row r="6" spans="2:4" x14ac:dyDescent="0.4">
      <c r="B6" s="239" t="s">
        <v>181</v>
      </c>
      <c r="C6" s="239" t="s">
        <v>182</v>
      </c>
      <c r="D6" s="239" t="s">
        <v>123</v>
      </c>
    </row>
    <row r="7" spans="2:4" x14ac:dyDescent="0.4">
      <c r="B7" s="2"/>
      <c r="C7" s="135"/>
      <c r="D7" s="135"/>
    </row>
    <row r="8" spans="2:4" x14ac:dyDescent="0.4">
      <c r="B8" s="2"/>
      <c r="C8" s="135"/>
      <c r="D8" s="135"/>
    </row>
    <row r="9" spans="2:4" x14ac:dyDescent="0.4">
      <c r="B9" s="2"/>
      <c r="C9" s="135"/>
      <c r="D9" s="135"/>
    </row>
    <row r="10" spans="2:4" x14ac:dyDescent="0.4">
      <c r="B10" s="2"/>
      <c r="C10" s="135"/>
      <c r="D10" s="135"/>
    </row>
    <row r="11" spans="2:4" x14ac:dyDescent="0.4">
      <c r="B11" s="2"/>
      <c r="C11" s="135"/>
      <c r="D11" s="135"/>
    </row>
    <row r="12" spans="2:4" x14ac:dyDescent="0.4">
      <c r="B12" s="2"/>
      <c r="C12" s="135"/>
      <c r="D12" s="135"/>
    </row>
    <row r="13" spans="2:4" x14ac:dyDescent="0.4">
      <c r="B13" s="2"/>
      <c r="C13" s="135"/>
      <c r="D13" s="135"/>
    </row>
    <row r="14" spans="2:4" x14ac:dyDescent="0.4">
      <c r="B14" s="2"/>
      <c r="C14" s="135"/>
      <c r="D14" s="135"/>
    </row>
    <row r="15" spans="2:4" x14ac:dyDescent="0.4">
      <c r="B15" s="5"/>
      <c r="C15" s="5"/>
      <c r="D15" s="5"/>
    </row>
    <row r="16" spans="2:4" x14ac:dyDescent="0.4">
      <c r="B16" s="5"/>
      <c r="C16" s="5"/>
      <c r="D16" s="5"/>
    </row>
    <row r="17" spans="2:4" x14ac:dyDescent="0.4">
      <c r="B17" s="5"/>
      <c r="C17" s="5"/>
      <c r="D17" s="5"/>
    </row>
    <row r="18" spans="2:4" x14ac:dyDescent="0.4">
      <c r="B18" s="5"/>
      <c r="C18" s="5"/>
      <c r="D18" s="5"/>
    </row>
    <row r="19" spans="2:4" x14ac:dyDescent="0.4">
      <c r="B19" s="5"/>
      <c r="C19" s="5"/>
      <c r="D19" s="5"/>
    </row>
    <row r="20" spans="2:4" x14ac:dyDescent="0.4">
      <c r="B20" s="5"/>
      <c r="C20" s="5"/>
      <c r="D20" s="5"/>
    </row>
  </sheetData>
  <mergeCells count="1">
    <mergeCell ref="B4:D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21"/>
  <sheetViews>
    <sheetView zoomScale="80" zoomScaleNormal="80" workbookViewId="0">
      <selection activeCell="G29" sqref="G29"/>
    </sheetView>
  </sheetViews>
  <sheetFormatPr defaultRowHeight="17.399999999999999" x14ac:dyDescent="0.4"/>
  <cols>
    <col min="1" max="1" width="4.09765625" customWidth="1"/>
    <col min="2" max="3" width="14" customWidth="1"/>
    <col min="4" max="4" width="16.8984375" customWidth="1"/>
    <col min="5" max="6" width="17.59765625" customWidth="1"/>
    <col min="7" max="7" width="20.3984375" customWidth="1"/>
    <col min="8" max="8" width="37.69921875" customWidth="1"/>
  </cols>
  <sheetData>
    <row r="2" spans="2:8" ht="21.75" customHeight="1" x14ac:dyDescent="0.4">
      <c r="B2" s="256" t="s">
        <v>32</v>
      </c>
      <c r="C2" s="257"/>
      <c r="D2" s="258"/>
      <c r="E2" s="258"/>
      <c r="F2" s="258"/>
      <c r="G2" s="258"/>
      <c r="H2" s="258"/>
    </row>
    <row r="3" spans="2:8" x14ac:dyDescent="0.4">
      <c r="B3" s="3" t="s">
        <v>5</v>
      </c>
      <c r="C3" s="4" t="s">
        <v>6</v>
      </c>
      <c r="D3" s="4" t="s">
        <v>7</v>
      </c>
      <c r="E3" s="4" t="s">
        <v>8</v>
      </c>
      <c r="F3" s="4" t="s">
        <v>184</v>
      </c>
      <c r="G3" s="4" t="s">
        <v>9</v>
      </c>
      <c r="H3" s="4" t="s">
        <v>10</v>
      </c>
    </row>
    <row r="4" spans="2:8" x14ac:dyDescent="0.4">
      <c r="B4" s="259"/>
      <c r="C4" s="5"/>
      <c r="D4" s="262"/>
      <c r="E4" s="263"/>
      <c r="F4" s="263"/>
      <c r="G4" s="263"/>
      <c r="H4" s="263"/>
    </row>
    <row r="5" spans="2:8" x14ac:dyDescent="0.4">
      <c r="B5" s="260"/>
      <c r="C5" s="5"/>
      <c r="D5" s="262"/>
      <c r="E5" s="264"/>
      <c r="F5" s="264"/>
      <c r="G5" s="264"/>
      <c r="H5" s="264"/>
    </row>
    <row r="6" spans="2:8" x14ac:dyDescent="0.4">
      <c r="B6" s="260"/>
      <c r="C6" s="5"/>
      <c r="D6" s="262"/>
      <c r="E6" s="265"/>
      <c r="F6" s="265"/>
      <c r="G6" s="265"/>
      <c r="H6" s="264"/>
    </row>
    <row r="7" spans="2:8" x14ac:dyDescent="0.4">
      <c r="B7" s="260"/>
      <c r="C7" s="5"/>
      <c r="D7" s="262"/>
      <c r="E7" s="263"/>
      <c r="F7" s="263"/>
      <c r="G7" s="263"/>
      <c r="H7" s="264"/>
    </row>
    <row r="8" spans="2:8" x14ac:dyDescent="0.4">
      <c r="B8" s="260"/>
      <c r="C8" s="5"/>
      <c r="D8" s="262"/>
      <c r="E8" s="264"/>
      <c r="F8" s="264"/>
      <c r="G8" s="264"/>
      <c r="H8" s="264"/>
    </row>
    <row r="9" spans="2:8" x14ac:dyDescent="0.4">
      <c r="B9" s="260"/>
      <c r="C9" s="5"/>
      <c r="D9" s="262"/>
      <c r="E9" s="265"/>
      <c r="F9" s="265"/>
      <c r="G9" s="265"/>
      <c r="H9" s="264"/>
    </row>
    <row r="10" spans="2:8" x14ac:dyDescent="0.4">
      <c r="B10" s="260"/>
      <c r="C10" s="5"/>
      <c r="D10" s="262"/>
      <c r="E10" s="263"/>
      <c r="F10" s="263"/>
      <c r="G10" s="263"/>
      <c r="H10" s="264"/>
    </row>
    <row r="11" spans="2:8" x14ac:dyDescent="0.4">
      <c r="B11" s="260"/>
      <c r="C11" s="5"/>
      <c r="D11" s="262"/>
      <c r="E11" s="264"/>
      <c r="F11" s="264"/>
      <c r="G11" s="264"/>
      <c r="H11" s="264"/>
    </row>
    <row r="12" spans="2:8" x14ac:dyDescent="0.4">
      <c r="B12" s="260"/>
      <c r="C12" s="5"/>
      <c r="D12" s="262"/>
      <c r="E12" s="265"/>
      <c r="F12" s="265"/>
      <c r="G12" s="265"/>
      <c r="H12" s="264"/>
    </row>
    <row r="13" spans="2:8" x14ac:dyDescent="0.4">
      <c r="B13" s="260"/>
      <c r="C13" s="5"/>
      <c r="D13" s="262"/>
      <c r="E13" s="263"/>
      <c r="F13" s="263"/>
      <c r="G13" s="263"/>
      <c r="H13" s="264"/>
    </row>
    <row r="14" spans="2:8" x14ac:dyDescent="0.4">
      <c r="B14" s="260"/>
      <c r="C14" s="5"/>
      <c r="D14" s="262"/>
      <c r="E14" s="264"/>
      <c r="F14" s="264"/>
      <c r="G14" s="264"/>
      <c r="H14" s="264"/>
    </row>
    <row r="15" spans="2:8" x14ac:dyDescent="0.4">
      <c r="B15" s="260"/>
      <c r="C15" s="5"/>
      <c r="D15" s="262"/>
      <c r="E15" s="265"/>
      <c r="F15" s="265"/>
      <c r="G15" s="265"/>
      <c r="H15" s="264"/>
    </row>
    <row r="16" spans="2:8" x14ac:dyDescent="0.4">
      <c r="B16" s="260"/>
      <c r="C16" s="5"/>
      <c r="D16" s="262"/>
      <c r="E16" s="263"/>
      <c r="F16" s="263"/>
      <c r="G16" s="263"/>
      <c r="H16" s="264"/>
    </row>
    <row r="17" spans="2:8" x14ac:dyDescent="0.4">
      <c r="B17" s="260"/>
      <c r="C17" s="5"/>
      <c r="D17" s="262"/>
      <c r="E17" s="264"/>
      <c r="F17" s="264"/>
      <c r="G17" s="264"/>
      <c r="H17" s="264"/>
    </row>
    <row r="18" spans="2:8" x14ac:dyDescent="0.4">
      <c r="B18" s="260"/>
      <c r="C18" s="5"/>
      <c r="D18" s="262"/>
      <c r="E18" s="265"/>
      <c r="F18" s="265"/>
      <c r="G18" s="265"/>
      <c r="H18" s="264"/>
    </row>
    <row r="19" spans="2:8" x14ac:dyDescent="0.4">
      <c r="B19" s="260"/>
      <c r="C19" s="5"/>
      <c r="D19" s="262"/>
      <c r="E19" s="263"/>
      <c r="F19" s="263"/>
      <c r="G19" s="263"/>
      <c r="H19" s="264"/>
    </row>
    <row r="20" spans="2:8" x14ac:dyDescent="0.4">
      <c r="B20" s="260"/>
      <c r="C20" s="5"/>
      <c r="D20" s="262"/>
      <c r="E20" s="264"/>
      <c r="F20" s="264"/>
      <c r="G20" s="264"/>
      <c r="H20" s="264"/>
    </row>
    <row r="21" spans="2:8" x14ac:dyDescent="0.4">
      <c r="B21" s="261"/>
      <c r="C21" s="5"/>
      <c r="D21" s="262"/>
      <c r="E21" s="265"/>
      <c r="F21" s="265"/>
      <c r="G21" s="265"/>
      <c r="H21" s="265"/>
    </row>
  </sheetData>
  <mergeCells count="27">
    <mergeCell ref="H4:H21"/>
    <mergeCell ref="G13:G15"/>
    <mergeCell ref="D16:D18"/>
    <mergeCell ref="E16:E18"/>
    <mergeCell ref="G16:G18"/>
    <mergeCell ref="F19:F21"/>
    <mergeCell ref="F4:F6"/>
    <mergeCell ref="F7:F9"/>
    <mergeCell ref="F10:F12"/>
    <mergeCell ref="F13:F15"/>
    <mergeCell ref="F16:F18"/>
    <mergeCell ref="B2:H2"/>
    <mergeCell ref="B4:B21"/>
    <mergeCell ref="D4:D6"/>
    <mergeCell ref="E4:E6"/>
    <mergeCell ref="G4:G6"/>
    <mergeCell ref="D7:D9"/>
    <mergeCell ref="E7:E9"/>
    <mergeCell ref="G7:G9"/>
    <mergeCell ref="D10:D12"/>
    <mergeCell ref="E10:E12"/>
    <mergeCell ref="G10:G12"/>
    <mergeCell ref="D13:D15"/>
    <mergeCell ref="E13:E15"/>
    <mergeCell ref="D19:D21"/>
    <mergeCell ref="E19:E21"/>
    <mergeCell ref="G19:G2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 tint="0.79998168889431442"/>
  </sheetPr>
  <dimension ref="B2:H20"/>
  <sheetViews>
    <sheetView zoomScale="70" zoomScaleNormal="70" workbookViewId="0">
      <selection activeCell="G30" sqref="G30"/>
    </sheetView>
  </sheetViews>
  <sheetFormatPr defaultRowHeight="17.399999999999999" x14ac:dyDescent="0.4"/>
  <cols>
    <col min="1" max="1" width="3" customWidth="1"/>
    <col min="2" max="2" width="14.5" customWidth="1"/>
    <col min="3" max="8" width="17.69921875" customWidth="1"/>
  </cols>
  <sheetData>
    <row r="2" spans="2:8" x14ac:dyDescent="0.4">
      <c r="B2" s="266" t="s">
        <v>203</v>
      </c>
      <c r="C2" s="266"/>
      <c r="D2" s="266"/>
      <c r="E2" s="266"/>
      <c r="F2" s="266"/>
      <c r="G2" s="266"/>
      <c r="H2" s="266"/>
    </row>
    <row r="3" spans="2:8" ht="9.75" customHeight="1" thickBot="1" x14ac:dyDescent="0.45"/>
    <row r="4" spans="2:8" ht="27.75" customHeight="1" thickBot="1" x14ac:dyDescent="0.45">
      <c r="B4" s="269" t="s">
        <v>11</v>
      </c>
      <c r="C4" s="267" t="s">
        <v>12</v>
      </c>
      <c r="D4" s="268"/>
      <c r="E4" s="267" t="s">
        <v>13</v>
      </c>
      <c r="F4" s="268"/>
      <c r="G4" s="267" t="s">
        <v>14</v>
      </c>
      <c r="H4" s="268"/>
    </row>
    <row r="5" spans="2:8" ht="30.75" customHeight="1" thickTop="1" thickBot="1" x14ac:dyDescent="0.45">
      <c r="B5" s="270"/>
      <c r="C5" s="6" t="s">
        <v>15</v>
      </c>
      <c r="D5" s="7" t="s">
        <v>16</v>
      </c>
      <c r="E5" s="7" t="s">
        <v>15</v>
      </c>
      <c r="F5" s="7" t="s">
        <v>16</v>
      </c>
      <c r="G5" s="7" t="s">
        <v>15</v>
      </c>
      <c r="H5" s="7" t="s">
        <v>16</v>
      </c>
    </row>
    <row r="6" spans="2:8" ht="32.25" customHeight="1" thickBot="1" x14ac:dyDescent="0.45">
      <c r="B6" s="8" t="s">
        <v>17</v>
      </c>
      <c r="C6" s="9"/>
      <c r="D6" s="9"/>
      <c r="E6" s="9"/>
      <c r="F6" s="9"/>
      <c r="G6" s="9"/>
      <c r="H6" s="9"/>
    </row>
    <row r="7" spans="2:8" ht="32.25" customHeight="1" thickBot="1" x14ac:dyDescent="0.45">
      <c r="B7" s="10" t="s">
        <v>18</v>
      </c>
      <c r="C7" s="11"/>
      <c r="D7" s="11"/>
      <c r="E7" s="11"/>
      <c r="F7" s="11"/>
      <c r="G7" s="11"/>
      <c r="H7" s="11"/>
    </row>
    <row r="8" spans="2:8" ht="32.25" customHeight="1" thickBot="1" x14ac:dyDescent="0.45">
      <c r="B8" s="8" t="s">
        <v>19</v>
      </c>
      <c r="C8" s="9"/>
      <c r="D8" s="9"/>
      <c r="E8" s="9"/>
      <c r="F8" s="9"/>
      <c r="G8" s="9"/>
      <c r="H8" s="9"/>
    </row>
    <row r="9" spans="2:8" ht="32.25" customHeight="1" thickBot="1" x14ac:dyDescent="0.45">
      <c r="B9" s="10" t="s">
        <v>20</v>
      </c>
      <c r="C9" s="11"/>
      <c r="D9" s="11"/>
      <c r="E9" s="11"/>
      <c r="F9" s="11"/>
      <c r="G9" s="11"/>
      <c r="H9" s="11"/>
    </row>
    <row r="10" spans="2:8" ht="32.25" customHeight="1" thickBot="1" x14ac:dyDescent="0.45">
      <c r="B10" s="12" t="s">
        <v>21</v>
      </c>
      <c r="C10" s="13"/>
      <c r="D10" s="13"/>
      <c r="E10" s="13"/>
      <c r="F10" s="13"/>
      <c r="G10" s="13"/>
      <c r="H10" s="13"/>
    </row>
    <row r="11" spans="2:8" ht="32.25" customHeight="1" thickBot="1" x14ac:dyDescent="0.45">
      <c r="B11" s="10" t="s">
        <v>22</v>
      </c>
      <c r="C11" s="11"/>
      <c r="D11" s="11"/>
      <c r="E11" s="11"/>
      <c r="F11" s="11"/>
      <c r="G11" s="11"/>
      <c r="H11" s="11"/>
    </row>
    <row r="12" spans="2:8" ht="32.25" customHeight="1" thickBot="1" x14ac:dyDescent="0.45">
      <c r="B12" s="12" t="s">
        <v>23</v>
      </c>
      <c r="C12" s="13"/>
      <c r="D12" s="13"/>
      <c r="E12" s="13"/>
      <c r="F12" s="13"/>
      <c r="G12" s="13"/>
      <c r="H12" s="13"/>
    </row>
    <row r="13" spans="2:8" ht="32.25" customHeight="1" thickBot="1" x14ac:dyDescent="0.45">
      <c r="B13" s="10" t="s">
        <v>24</v>
      </c>
      <c r="C13" s="11"/>
      <c r="D13" s="11"/>
      <c r="E13" s="11"/>
      <c r="F13" s="11"/>
      <c r="G13" s="11"/>
      <c r="H13" s="11"/>
    </row>
    <row r="14" spans="2:8" ht="32.25" customHeight="1" thickBot="1" x14ac:dyDescent="0.45">
      <c r="B14" s="12" t="s">
        <v>25</v>
      </c>
      <c r="C14" s="13"/>
      <c r="D14" s="13"/>
      <c r="E14" s="13"/>
      <c r="F14" s="13"/>
      <c r="G14" s="13"/>
      <c r="H14" s="13"/>
    </row>
    <row r="15" spans="2:8" ht="32.25" customHeight="1" thickBot="1" x14ac:dyDescent="0.45">
      <c r="B15" s="10" t="s">
        <v>26</v>
      </c>
      <c r="C15" s="11"/>
      <c r="D15" s="11"/>
      <c r="E15" s="11"/>
      <c r="F15" s="11"/>
      <c r="G15" s="11"/>
      <c r="H15" s="11"/>
    </row>
    <row r="16" spans="2:8" x14ac:dyDescent="0.4">
      <c r="B16" s="14" t="s">
        <v>27</v>
      </c>
      <c r="C16" s="14">
        <f t="shared" ref="C16:H16" si="0">RANK(C17,$C$17:$H$17)</f>
        <v>1</v>
      </c>
      <c r="D16" s="14">
        <f t="shared" si="0"/>
        <v>1</v>
      </c>
      <c r="E16" s="14">
        <f t="shared" si="0"/>
        <v>1</v>
      </c>
      <c r="F16" s="14">
        <f t="shared" si="0"/>
        <v>1</v>
      </c>
      <c r="G16" s="14">
        <f t="shared" si="0"/>
        <v>1</v>
      </c>
      <c r="H16" s="14">
        <f t="shared" si="0"/>
        <v>1</v>
      </c>
    </row>
    <row r="17" spans="2:8" x14ac:dyDescent="0.4">
      <c r="B17" s="15" t="s">
        <v>28</v>
      </c>
      <c r="C17" s="16">
        <f>COUNTIF(C$6:C$15,$B17)</f>
        <v>0</v>
      </c>
      <c r="D17" s="16">
        <f t="shared" ref="D17:H17" si="1">COUNTIF(D$6:D$15,$B17)</f>
        <v>0</v>
      </c>
      <c r="E17" s="16">
        <f t="shared" si="1"/>
        <v>0</v>
      </c>
      <c r="F17" s="16">
        <f t="shared" si="1"/>
        <v>0</v>
      </c>
      <c r="G17" s="16">
        <f t="shared" si="1"/>
        <v>0</v>
      </c>
      <c r="H17" s="16">
        <f t="shared" si="1"/>
        <v>0</v>
      </c>
    </row>
    <row r="18" spans="2:8" x14ac:dyDescent="0.4">
      <c r="B18" s="15" t="s">
        <v>29</v>
      </c>
      <c r="C18" s="16">
        <f t="shared" ref="C18:H20" si="2">COUNTIF(C$6:C$15,$B18)</f>
        <v>0</v>
      </c>
      <c r="D18" s="16">
        <f t="shared" si="2"/>
        <v>0</v>
      </c>
      <c r="E18" s="16">
        <f t="shared" si="2"/>
        <v>0</v>
      </c>
      <c r="F18" s="16">
        <f t="shared" si="2"/>
        <v>0</v>
      </c>
      <c r="G18" s="16">
        <f t="shared" si="2"/>
        <v>0</v>
      </c>
      <c r="H18" s="16">
        <f t="shared" si="2"/>
        <v>0</v>
      </c>
    </row>
    <row r="19" spans="2:8" x14ac:dyDescent="0.4">
      <c r="B19" s="15" t="s">
        <v>30</v>
      </c>
      <c r="C19" s="16">
        <f t="shared" si="2"/>
        <v>0</v>
      </c>
      <c r="D19" s="16">
        <f t="shared" si="2"/>
        <v>0</v>
      </c>
      <c r="E19" s="16">
        <f t="shared" si="2"/>
        <v>0</v>
      </c>
      <c r="F19" s="16">
        <f t="shared" si="2"/>
        <v>0</v>
      </c>
      <c r="G19" s="16">
        <f t="shared" si="2"/>
        <v>0</v>
      </c>
      <c r="H19" s="16">
        <f t="shared" si="2"/>
        <v>0</v>
      </c>
    </row>
    <row r="20" spans="2:8" x14ac:dyDescent="0.4">
      <c r="B20" s="15" t="s">
        <v>31</v>
      </c>
      <c r="C20" s="16">
        <f t="shared" si="2"/>
        <v>0</v>
      </c>
      <c r="D20" s="16">
        <f t="shared" si="2"/>
        <v>0</v>
      </c>
      <c r="E20" s="16">
        <f t="shared" si="2"/>
        <v>0</v>
      </c>
      <c r="F20" s="16">
        <f t="shared" si="2"/>
        <v>0</v>
      </c>
      <c r="G20" s="16">
        <f t="shared" si="2"/>
        <v>0</v>
      </c>
      <c r="H20" s="16">
        <f t="shared" si="2"/>
        <v>0</v>
      </c>
    </row>
  </sheetData>
  <mergeCells count="5">
    <mergeCell ref="B2:H2"/>
    <mergeCell ref="C4:D4"/>
    <mergeCell ref="E4:F4"/>
    <mergeCell ref="G4:H4"/>
    <mergeCell ref="B4:B5"/>
  </mergeCells>
  <phoneticPr fontId="6" type="noConversion"/>
  <pageMargins left="0.25" right="0.25" top="0.75" bottom="0.75" header="0.3" footer="0.3"/>
  <pageSetup paperSize="9" orientation="landscape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E45"/>
  <sheetViews>
    <sheetView topLeftCell="B1" workbookViewId="0">
      <selection activeCell="C4" sqref="C4"/>
    </sheetView>
  </sheetViews>
  <sheetFormatPr defaultRowHeight="17.399999999999999" x14ac:dyDescent="0.4"/>
  <cols>
    <col min="1" max="1" width="3.59765625" customWidth="1"/>
    <col min="2" max="2" width="7.3984375" customWidth="1"/>
    <col min="3" max="3" width="49.09765625" customWidth="1"/>
    <col min="4" max="4" width="24.3984375" customWidth="1"/>
    <col min="5" max="5" width="20.09765625" customWidth="1"/>
  </cols>
  <sheetData>
    <row r="2" spans="2:5" x14ac:dyDescent="0.4">
      <c r="B2" s="266" t="s">
        <v>33</v>
      </c>
      <c r="C2" s="266"/>
      <c r="D2" s="266"/>
      <c r="E2" s="266"/>
    </row>
    <row r="4" spans="2:5" x14ac:dyDescent="0.4">
      <c r="B4" s="17" t="s">
        <v>34</v>
      </c>
      <c r="C4" s="18" t="s">
        <v>35</v>
      </c>
      <c r="D4" s="19" t="s">
        <v>36</v>
      </c>
      <c r="E4" s="19" t="s">
        <v>37</v>
      </c>
    </row>
    <row r="5" spans="2:5" x14ac:dyDescent="0.4">
      <c r="B5" s="17">
        <v>1</v>
      </c>
      <c r="C5" s="20"/>
      <c r="D5" s="21"/>
      <c r="E5" s="22"/>
    </row>
    <row r="6" spans="2:5" x14ac:dyDescent="0.4">
      <c r="B6" s="17">
        <v>2</v>
      </c>
      <c r="C6" s="23"/>
      <c r="D6" s="24"/>
      <c r="E6" s="25"/>
    </row>
    <row r="7" spans="2:5" x14ac:dyDescent="0.4">
      <c r="B7" s="17">
        <v>3</v>
      </c>
      <c r="C7" s="23"/>
      <c r="D7" s="24"/>
      <c r="E7" s="25"/>
    </row>
    <row r="8" spans="2:5" x14ac:dyDescent="0.4">
      <c r="B8" s="17">
        <v>4</v>
      </c>
      <c r="C8" s="23"/>
      <c r="D8" s="24"/>
      <c r="E8" s="25"/>
    </row>
    <row r="9" spans="2:5" x14ac:dyDescent="0.4">
      <c r="B9" s="17">
        <v>5</v>
      </c>
      <c r="C9" s="23"/>
      <c r="D9" s="24"/>
      <c r="E9" s="25"/>
    </row>
    <row r="10" spans="2:5" x14ac:dyDescent="0.4">
      <c r="B10" s="17">
        <v>6</v>
      </c>
      <c r="C10" s="23"/>
      <c r="D10" s="24"/>
      <c r="E10" s="25"/>
    </row>
    <row r="11" spans="2:5" x14ac:dyDescent="0.4">
      <c r="B11" s="17">
        <v>7</v>
      </c>
      <c r="C11" s="23"/>
      <c r="D11" s="24"/>
      <c r="E11" s="25"/>
    </row>
    <row r="12" spans="2:5" x14ac:dyDescent="0.4">
      <c r="B12" s="17">
        <v>8</v>
      </c>
      <c r="C12" s="23"/>
      <c r="D12" s="24"/>
      <c r="E12" s="25"/>
    </row>
    <row r="13" spans="2:5" x14ac:dyDescent="0.4">
      <c r="B13" s="17">
        <v>9</v>
      </c>
      <c r="C13" s="23"/>
      <c r="D13" s="24"/>
      <c r="E13" s="25"/>
    </row>
    <row r="14" spans="2:5" x14ac:dyDescent="0.4">
      <c r="B14" s="17">
        <v>10</v>
      </c>
      <c r="C14" s="23"/>
      <c r="D14" s="24"/>
      <c r="E14" s="25"/>
    </row>
    <row r="15" spans="2:5" x14ac:dyDescent="0.4">
      <c r="B15" s="17">
        <v>11</v>
      </c>
      <c r="C15" s="23"/>
      <c r="D15" s="24"/>
      <c r="E15" s="25"/>
    </row>
    <row r="16" spans="2:5" x14ac:dyDescent="0.4">
      <c r="B16" s="17">
        <v>12</v>
      </c>
      <c r="C16" s="23"/>
      <c r="D16" s="24"/>
      <c r="E16" s="25"/>
    </row>
    <row r="17" spans="2:5" x14ac:dyDescent="0.4">
      <c r="B17" s="17">
        <v>13</v>
      </c>
      <c r="C17" s="23"/>
      <c r="D17" s="24"/>
      <c r="E17" s="25"/>
    </row>
    <row r="18" spans="2:5" x14ac:dyDescent="0.4">
      <c r="B18" s="17">
        <v>14</v>
      </c>
      <c r="C18" s="23"/>
      <c r="D18" s="24"/>
      <c r="E18" s="25"/>
    </row>
    <row r="19" spans="2:5" x14ac:dyDescent="0.4">
      <c r="B19" s="17">
        <v>15</v>
      </c>
      <c r="C19" s="23"/>
      <c r="D19" s="24"/>
      <c r="E19" s="25"/>
    </row>
    <row r="20" spans="2:5" x14ac:dyDescent="0.4">
      <c r="B20" s="17">
        <v>16</v>
      </c>
      <c r="C20" s="23"/>
      <c r="D20" s="24"/>
      <c r="E20" s="25"/>
    </row>
    <row r="21" spans="2:5" x14ac:dyDescent="0.4">
      <c r="B21" s="17">
        <v>17</v>
      </c>
      <c r="C21" s="23"/>
      <c r="D21" s="24"/>
      <c r="E21" s="25"/>
    </row>
    <row r="22" spans="2:5" x14ac:dyDescent="0.4">
      <c r="B22" s="17">
        <v>18</v>
      </c>
      <c r="C22" s="23"/>
      <c r="D22" s="24"/>
      <c r="E22" s="25"/>
    </row>
    <row r="23" spans="2:5" x14ac:dyDescent="0.4">
      <c r="B23" s="17">
        <v>19</v>
      </c>
      <c r="C23" s="23"/>
      <c r="D23" s="24"/>
      <c r="E23" s="25"/>
    </row>
    <row r="24" spans="2:5" x14ac:dyDescent="0.4">
      <c r="B24" s="17">
        <v>20</v>
      </c>
      <c r="C24" s="23"/>
      <c r="D24" s="24"/>
      <c r="E24" s="25"/>
    </row>
    <row r="25" spans="2:5" x14ac:dyDescent="0.4">
      <c r="B25" s="17">
        <v>21</v>
      </c>
      <c r="C25" s="23"/>
      <c r="D25" s="24"/>
      <c r="E25" s="25"/>
    </row>
    <row r="26" spans="2:5" x14ac:dyDescent="0.4">
      <c r="B26" s="17">
        <v>22</v>
      </c>
      <c r="C26" s="23"/>
      <c r="D26" s="24"/>
      <c r="E26" s="25"/>
    </row>
    <row r="27" spans="2:5" x14ac:dyDescent="0.4">
      <c r="B27" s="17">
        <v>23</v>
      </c>
      <c r="C27" s="23"/>
      <c r="D27" s="24"/>
      <c r="E27" s="25"/>
    </row>
    <row r="28" spans="2:5" x14ac:dyDescent="0.4">
      <c r="B28" s="17">
        <v>24</v>
      </c>
      <c r="C28" s="23"/>
      <c r="D28" s="24"/>
      <c r="E28" s="25"/>
    </row>
    <row r="29" spans="2:5" x14ac:dyDescent="0.4">
      <c r="B29" s="17">
        <v>25</v>
      </c>
      <c r="C29" s="23"/>
      <c r="D29" s="24"/>
      <c r="E29" s="25"/>
    </row>
    <row r="30" spans="2:5" x14ac:dyDescent="0.4">
      <c r="B30" s="17">
        <v>26</v>
      </c>
      <c r="C30" s="23"/>
      <c r="D30" s="24"/>
      <c r="E30" s="25"/>
    </row>
    <row r="31" spans="2:5" x14ac:dyDescent="0.4">
      <c r="B31" s="17">
        <v>27</v>
      </c>
      <c r="C31" s="23"/>
      <c r="D31" s="24"/>
      <c r="E31" s="25"/>
    </row>
    <row r="32" spans="2:5" x14ac:dyDescent="0.4">
      <c r="B32" s="17">
        <v>28</v>
      </c>
      <c r="C32" s="23"/>
      <c r="D32" s="24"/>
      <c r="E32" s="25"/>
    </row>
    <row r="33" spans="2:5" x14ac:dyDescent="0.4">
      <c r="B33" s="17">
        <v>29</v>
      </c>
      <c r="C33" s="23"/>
      <c r="D33" s="24"/>
      <c r="E33" s="25"/>
    </row>
    <row r="34" spans="2:5" x14ac:dyDescent="0.4">
      <c r="B34" s="17">
        <v>30</v>
      </c>
      <c r="C34" s="23"/>
      <c r="D34" s="24"/>
      <c r="E34" s="25"/>
    </row>
    <row r="35" spans="2:5" x14ac:dyDescent="0.4">
      <c r="B35" s="17">
        <v>31</v>
      </c>
      <c r="C35" s="23"/>
      <c r="D35" s="24"/>
      <c r="E35" s="25"/>
    </row>
    <row r="36" spans="2:5" x14ac:dyDescent="0.4">
      <c r="B36" s="17">
        <v>32</v>
      </c>
      <c r="C36" s="23"/>
      <c r="D36" s="24"/>
      <c r="E36" s="25"/>
    </row>
    <row r="37" spans="2:5" x14ac:dyDescent="0.4">
      <c r="B37" s="17">
        <v>33</v>
      </c>
      <c r="C37" s="23"/>
      <c r="D37" s="24"/>
      <c r="E37" s="25"/>
    </row>
    <row r="38" spans="2:5" x14ac:dyDescent="0.4">
      <c r="B38" s="17">
        <v>34</v>
      </c>
      <c r="C38" s="23"/>
      <c r="D38" s="24"/>
      <c r="E38" s="25"/>
    </row>
    <row r="39" spans="2:5" x14ac:dyDescent="0.4">
      <c r="B39" s="17">
        <v>35</v>
      </c>
      <c r="C39" s="26"/>
      <c r="D39" s="27"/>
      <c r="E39" s="28"/>
    </row>
    <row r="41" spans="2:5" x14ac:dyDescent="0.4">
      <c r="B41" s="29" t="s">
        <v>38</v>
      </c>
    </row>
    <row r="42" spans="2:5" x14ac:dyDescent="0.4">
      <c r="B42" s="271"/>
      <c r="C42" s="272"/>
      <c r="D42" s="272"/>
    </row>
    <row r="44" spans="2:5" x14ac:dyDescent="0.4">
      <c r="B44" s="29" t="s">
        <v>5</v>
      </c>
    </row>
    <row r="45" spans="2:5" x14ac:dyDescent="0.4">
      <c r="B45" s="271"/>
      <c r="C45" s="272"/>
      <c r="D45" s="272"/>
    </row>
  </sheetData>
  <mergeCells count="3">
    <mergeCell ref="B2:E2"/>
    <mergeCell ref="B42:D42"/>
    <mergeCell ref="B45:D45"/>
  </mergeCells>
  <phoneticPr fontId="6" type="noConversion"/>
  <pageMargins left="0.25" right="0.25" top="0.75" bottom="0.75" header="0.3" footer="0.3"/>
  <pageSetup paperSize="9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Q74"/>
  <sheetViews>
    <sheetView workbookViewId="0">
      <pane xSplit="4" ySplit="2" topLeftCell="E3" activePane="bottomRight" state="frozen"/>
      <selection pane="topRight"/>
      <selection pane="bottomLeft"/>
      <selection pane="bottomRight" activeCell="E4" sqref="E4"/>
    </sheetView>
  </sheetViews>
  <sheetFormatPr defaultRowHeight="17.399999999999999" x14ac:dyDescent="0.4"/>
  <cols>
    <col min="1" max="1" width="2.5" customWidth="1"/>
    <col min="2" max="2" width="4.3984375" customWidth="1"/>
    <col min="3" max="3" width="39.5" customWidth="1"/>
    <col min="4" max="4" width="11.59765625" bestFit="1" customWidth="1"/>
    <col min="5" max="5" width="11.5" bestFit="1" customWidth="1"/>
    <col min="6" max="6" width="9.3984375" bestFit="1" customWidth="1"/>
    <col min="7" max="7" width="17.09765625" bestFit="1" customWidth="1"/>
    <col min="8" max="8" width="11.8984375" bestFit="1" customWidth="1"/>
    <col min="9" max="9" width="13.09765625" bestFit="1" customWidth="1"/>
    <col min="10" max="11" width="7.09765625" bestFit="1" customWidth="1"/>
    <col min="12" max="12" width="7.8984375" bestFit="1" customWidth="1"/>
    <col min="13" max="13" width="6.5" bestFit="1" customWidth="1"/>
    <col min="14" max="15" width="7.09765625" bestFit="1" customWidth="1"/>
    <col min="16" max="16" width="1" customWidth="1"/>
    <col min="19" max="19" width="10.8984375" customWidth="1"/>
    <col min="28" max="28" width="0.8984375" customWidth="1"/>
    <col min="40" max="40" width="1.3984375" customWidth="1"/>
    <col min="52" max="52" width="1.19921875" customWidth="1"/>
    <col min="64" max="64" width="1.09765625" customWidth="1"/>
    <col min="77" max="77" width="1" customWidth="1"/>
    <col min="89" max="89" width="1.19921875" customWidth="1"/>
    <col min="101" max="101" width="1.3984375" customWidth="1"/>
    <col min="113" max="113" width="0.59765625" customWidth="1"/>
    <col min="125" max="125" width="1.19921875" customWidth="1"/>
    <col min="137" max="137" width="0.8984375" customWidth="1"/>
    <col min="149" max="149" width="0.59765625" customWidth="1"/>
    <col min="161" max="161" width="0.59765625" customWidth="1"/>
    <col min="173" max="173" width="0.69921875" customWidth="1"/>
    <col min="185" max="185" width="0.59765625" customWidth="1"/>
    <col min="198" max="198" width="0.59765625" customWidth="1"/>
    <col min="210" max="210" width="0.69921875" customWidth="1"/>
    <col min="222" max="222" width="0.5" customWidth="1"/>
    <col min="234" max="234" width="0.59765625" customWidth="1"/>
  </cols>
  <sheetData>
    <row r="1" spans="2:251" x14ac:dyDescent="0.4">
      <c r="E1" s="30">
        <v>1</v>
      </c>
      <c r="Q1" s="30">
        <v>2</v>
      </c>
      <c r="AC1" s="30">
        <v>3</v>
      </c>
      <c r="AO1" s="30">
        <v>4</v>
      </c>
      <c r="BA1" s="30">
        <v>5</v>
      </c>
      <c r="BM1" s="30">
        <v>6</v>
      </c>
      <c r="BZ1" s="30">
        <v>7</v>
      </c>
      <c r="CL1" s="30">
        <v>8</v>
      </c>
      <c r="CX1" s="30">
        <v>9</v>
      </c>
      <c r="DJ1" s="30">
        <v>10</v>
      </c>
      <c r="DV1" s="30">
        <v>11</v>
      </c>
      <c r="EH1" s="30">
        <v>12</v>
      </c>
      <c r="ET1" s="30">
        <v>13</v>
      </c>
      <c r="FF1" s="30">
        <v>14</v>
      </c>
      <c r="FR1" s="30">
        <v>15</v>
      </c>
      <c r="GD1" s="30">
        <v>16</v>
      </c>
      <c r="GQ1" s="30">
        <v>17</v>
      </c>
      <c r="HC1" s="30">
        <v>18</v>
      </c>
      <c r="HO1" s="30">
        <v>19</v>
      </c>
      <c r="IA1" s="30">
        <v>20</v>
      </c>
    </row>
    <row r="2" spans="2:251" x14ac:dyDescent="0.3">
      <c r="E2" s="31" t="s">
        <v>39</v>
      </c>
      <c r="F2" s="32" t="s">
        <v>40</v>
      </c>
      <c r="G2" s="32" t="s">
        <v>41</v>
      </c>
      <c r="H2" s="32" t="s">
        <v>42</v>
      </c>
      <c r="I2" s="32" t="s">
        <v>43</v>
      </c>
      <c r="J2" s="33" t="s">
        <v>44</v>
      </c>
      <c r="K2" s="34" t="s">
        <v>45</v>
      </c>
      <c r="L2" s="34" t="s">
        <v>46</v>
      </c>
      <c r="M2" s="34" t="s">
        <v>47</v>
      </c>
      <c r="N2" s="34" t="s">
        <v>48</v>
      </c>
      <c r="O2" s="34" t="s">
        <v>49</v>
      </c>
      <c r="Q2" s="35" t="s">
        <v>39</v>
      </c>
      <c r="R2" s="36" t="s">
        <v>40</v>
      </c>
      <c r="S2" s="36" t="s">
        <v>41</v>
      </c>
      <c r="T2" s="36" t="s">
        <v>42</v>
      </c>
      <c r="U2" s="36" t="s">
        <v>43</v>
      </c>
      <c r="V2" s="33" t="s">
        <v>44</v>
      </c>
      <c r="W2" s="34" t="s">
        <v>45</v>
      </c>
      <c r="X2" s="34" t="s">
        <v>46</v>
      </c>
      <c r="Y2" s="34" t="s">
        <v>47</v>
      </c>
      <c r="Z2" s="34" t="s">
        <v>48</v>
      </c>
      <c r="AA2" s="34" t="s">
        <v>49</v>
      </c>
      <c r="AC2" s="35" t="s">
        <v>39</v>
      </c>
      <c r="AD2" s="36" t="s">
        <v>40</v>
      </c>
      <c r="AE2" s="36" t="s">
        <v>41</v>
      </c>
      <c r="AF2" s="36" t="s">
        <v>42</v>
      </c>
      <c r="AG2" s="36" t="s">
        <v>43</v>
      </c>
      <c r="AH2" s="33" t="s">
        <v>44</v>
      </c>
      <c r="AI2" s="34" t="s">
        <v>45</v>
      </c>
      <c r="AJ2" s="34" t="s">
        <v>46</v>
      </c>
      <c r="AK2" s="34" t="s">
        <v>47</v>
      </c>
      <c r="AL2" s="34" t="s">
        <v>48</v>
      </c>
      <c r="AM2" s="34" t="s">
        <v>49</v>
      </c>
      <c r="AO2" s="31" t="s">
        <v>39</v>
      </c>
      <c r="AP2" s="32" t="s">
        <v>40</v>
      </c>
      <c r="AQ2" s="32" t="s">
        <v>41</v>
      </c>
      <c r="AR2" s="32" t="s">
        <v>42</v>
      </c>
      <c r="AS2" s="32" t="s">
        <v>43</v>
      </c>
      <c r="AT2" s="33" t="s">
        <v>44</v>
      </c>
      <c r="AU2" s="34" t="s">
        <v>45</v>
      </c>
      <c r="AV2" s="34" t="s">
        <v>46</v>
      </c>
      <c r="AW2" s="34" t="s">
        <v>47</v>
      </c>
      <c r="AX2" s="34" t="s">
        <v>48</v>
      </c>
      <c r="AY2" s="34" t="s">
        <v>49</v>
      </c>
      <c r="BA2" s="31" t="s">
        <v>39</v>
      </c>
      <c r="BB2" s="32" t="s">
        <v>40</v>
      </c>
      <c r="BC2" s="32" t="s">
        <v>41</v>
      </c>
      <c r="BD2" s="32" t="s">
        <v>42</v>
      </c>
      <c r="BE2" s="32" t="s">
        <v>43</v>
      </c>
      <c r="BF2" s="33" t="s">
        <v>44</v>
      </c>
      <c r="BG2" s="34" t="s">
        <v>45</v>
      </c>
      <c r="BH2" s="34" t="s">
        <v>46</v>
      </c>
      <c r="BI2" s="34" t="s">
        <v>47</v>
      </c>
      <c r="BJ2" s="34" t="s">
        <v>48</v>
      </c>
      <c r="BK2" s="34" t="s">
        <v>49</v>
      </c>
      <c r="BM2" s="31" t="s">
        <v>39</v>
      </c>
      <c r="BN2" s="32" t="s">
        <v>40</v>
      </c>
      <c r="BO2" s="32" t="s">
        <v>41</v>
      </c>
      <c r="BP2" s="32" t="s">
        <v>42</v>
      </c>
      <c r="BQ2" s="32" t="s">
        <v>43</v>
      </c>
      <c r="BR2" s="37" t="s">
        <v>50</v>
      </c>
      <c r="BS2" s="33" t="s">
        <v>44</v>
      </c>
      <c r="BT2" s="34" t="s">
        <v>45</v>
      </c>
      <c r="BU2" s="34" t="s">
        <v>46</v>
      </c>
      <c r="BV2" s="34" t="s">
        <v>47</v>
      </c>
      <c r="BW2" s="34" t="s">
        <v>48</v>
      </c>
      <c r="BX2" s="34" t="s">
        <v>49</v>
      </c>
      <c r="BZ2" s="31" t="s">
        <v>39</v>
      </c>
      <c r="CA2" s="32" t="s">
        <v>40</v>
      </c>
      <c r="CB2" s="32" t="s">
        <v>41</v>
      </c>
      <c r="CC2" s="32" t="s">
        <v>42</v>
      </c>
      <c r="CD2" s="32" t="s">
        <v>43</v>
      </c>
      <c r="CE2" s="33" t="s">
        <v>44</v>
      </c>
      <c r="CF2" s="34" t="s">
        <v>45</v>
      </c>
      <c r="CG2" s="34" t="s">
        <v>46</v>
      </c>
      <c r="CH2" s="34" t="s">
        <v>47</v>
      </c>
      <c r="CI2" s="34" t="s">
        <v>48</v>
      </c>
      <c r="CJ2" s="34" t="s">
        <v>49</v>
      </c>
      <c r="CL2" s="31" t="s">
        <v>39</v>
      </c>
      <c r="CM2" s="32" t="s">
        <v>40</v>
      </c>
      <c r="CN2" s="32" t="s">
        <v>41</v>
      </c>
      <c r="CO2" s="32" t="s">
        <v>42</v>
      </c>
      <c r="CP2" s="32" t="s">
        <v>43</v>
      </c>
      <c r="CQ2" s="33" t="s">
        <v>44</v>
      </c>
      <c r="CR2" s="34" t="s">
        <v>45</v>
      </c>
      <c r="CS2" s="34" t="s">
        <v>46</v>
      </c>
      <c r="CT2" s="34" t="s">
        <v>47</v>
      </c>
      <c r="CU2" s="34" t="s">
        <v>48</v>
      </c>
      <c r="CV2" s="34" t="s">
        <v>49</v>
      </c>
      <c r="CX2" s="31" t="s">
        <v>39</v>
      </c>
      <c r="CY2" s="32" t="s">
        <v>40</v>
      </c>
      <c r="CZ2" s="32" t="s">
        <v>41</v>
      </c>
      <c r="DA2" s="32" t="s">
        <v>42</v>
      </c>
      <c r="DB2" s="32" t="s">
        <v>43</v>
      </c>
      <c r="DC2" s="33" t="s">
        <v>44</v>
      </c>
      <c r="DD2" s="34" t="s">
        <v>45</v>
      </c>
      <c r="DE2" s="34" t="s">
        <v>46</v>
      </c>
      <c r="DF2" s="34" t="s">
        <v>47</v>
      </c>
      <c r="DG2" s="34" t="s">
        <v>48</v>
      </c>
      <c r="DH2" s="34" t="s">
        <v>49</v>
      </c>
      <c r="DJ2" s="31" t="s">
        <v>39</v>
      </c>
      <c r="DK2" s="32" t="s">
        <v>40</v>
      </c>
      <c r="DL2" s="32" t="s">
        <v>41</v>
      </c>
      <c r="DM2" s="32" t="s">
        <v>42</v>
      </c>
      <c r="DN2" s="32" t="s">
        <v>43</v>
      </c>
      <c r="DO2" s="33" t="s">
        <v>44</v>
      </c>
      <c r="DP2" s="34" t="s">
        <v>45</v>
      </c>
      <c r="DQ2" s="34" t="s">
        <v>46</v>
      </c>
      <c r="DR2" s="34" t="s">
        <v>47</v>
      </c>
      <c r="DS2" s="34" t="s">
        <v>48</v>
      </c>
      <c r="DT2" s="34" t="s">
        <v>49</v>
      </c>
      <c r="DV2" s="31" t="s">
        <v>39</v>
      </c>
      <c r="DW2" s="32" t="s">
        <v>40</v>
      </c>
      <c r="DX2" s="32" t="s">
        <v>41</v>
      </c>
      <c r="DY2" s="32" t="s">
        <v>42</v>
      </c>
      <c r="DZ2" s="32" t="s">
        <v>43</v>
      </c>
      <c r="EA2" s="33" t="s">
        <v>44</v>
      </c>
      <c r="EB2" s="34" t="s">
        <v>45</v>
      </c>
      <c r="EC2" s="34" t="s">
        <v>46</v>
      </c>
      <c r="ED2" s="34" t="s">
        <v>47</v>
      </c>
      <c r="EE2" s="34" t="s">
        <v>48</v>
      </c>
      <c r="EF2" s="34" t="s">
        <v>49</v>
      </c>
      <c r="EH2" s="35" t="s">
        <v>39</v>
      </c>
      <c r="EI2" s="36" t="s">
        <v>40</v>
      </c>
      <c r="EJ2" s="36" t="s">
        <v>41</v>
      </c>
      <c r="EK2" s="36" t="s">
        <v>42</v>
      </c>
      <c r="EL2" s="36" t="s">
        <v>43</v>
      </c>
      <c r="EM2" s="33" t="s">
        <v>44</v>
      </c>
      <c r="EN2" s="34" t="s">
        <v>45</v>
      </c>
      <c r="EO2" s="34" t="s">
        <v>46</v>
      </c>
      <c r="EP2" s="34" t="s">
        <v>47</v>
      </c>
      <c r="EQ2" s="34" t="s">
        <v>48</v>
      </c>
      <c r="ER2" s="34" t="s">
        <v>49</v>
      </c>
      <c r="ET2" s="35" t="s">
        <v>39</v>
      </c>
      <c r="EU2" s="36" t="s">
        <v>40</v>
      </c>
      <c r="EV2" s="36" t="s">
        <v>41</v>
      </c>
      <c r="EW2" s="36" t="s">
        <v>42</v>
      </c>
      <c r="EX2" s="36" t="s">
        <v>43</v>
      </c>
      <c r="EY2" s="33" t="s">
        <v>44</v>
      </c>
      <c r="EZ2" s="34" t="s">
        <v>45</v>
      </c>
      <c r="FA2" s="34" t="s">
        <v>46</v>
      </c>
      <c r="FB2" s="34" t="s">
        <v>47</v>
      </c>
      <c r="FC2" s="34" t="s">
        <v>48</v>
      </c>
      <c r="FD2" s="34" t="s">
        <v>49</v>
      </c>
      <c r="FF2" s="31" t="s">
        <v>39</v>
      </c>
      <c r="FG2" s="32" t="s">
        <v>40</v>
      </c>
      <c r="FH2" s="32" t="s">
        <v>41</v>
      </c>
      <c r="FI2" s="32" t="s">
        <v>42</v>
      </c>
      <c r="FJ2" s="32" t="s">
        <v>43</v>
      </c>
      <c r="FK2" s="33" t="s">
        <v>44</v>
      </c>
      <c r="FL2" s="34" t="s">
        <v>45</v>
      </c>
      <c r="FM2" s="34" t="s">
        <v>46</v>
      </c>
      <c r="FN2" s="34" t="s">
        <v>47</v>
      </c>
      <c r="FO2" s="34" t="s">
        <v>48</v>
      </c>
      <c r="FP2" s="34" t="s">
        <v>49</v>
      </c>
      <c r="FR2" s="31" t="s">
        <v>39</v>
      </c>
      <c r="FS2" s="32" t="s">
        <v>40</v>
      </c>
      <c r="FT2" s="32" t="s">
        <v>41</v>
      </c>
      <c r="FU2" s="32" t="s">
        <v>42</v>
      </c>
      <c r="FV2" s="32" t="s">
        <v>43</v>
      </c>
      <c r="FW2" s="33" t="s">
        <v>44</v>
      </c>
      <c r="FX2" s="34" t="s">
        <v>45</v>
      </c>
      <c r="FY2" s="34" t="s">
        <v>46</v>
      </c>
      <c r="FZ2" s="34" t="s">
        <v>47</v>
      </c>
      <c r="GA2" s="34" t="s">
        <v>48</v>
      </c>
      <c r="GB2" s="34" t="s">
        <v>49</v>
      </c>
      <c r="GD2" s="31" t="s">
        <v>39</v>
      </c>
      <c r="GE2" s="32" t="s">
        <v>40</v>
      </c>
      <c r="GF2" s="32" t="s">
        <v>41</v>
      </c>
      <c r="GG2" s="32" t="s">
        <v>42</v>
      </c>
      <c r="GH2" s="32" t="s">
        <v>43</v>
      </c>
      <c r="GI2" s="37" t="s">
        <v>50</v>
      </c>
      <c r="GJ2" s="33" t="s">
        <v>44</v>
      </c>
      <c r="GK2" s="34" t="s">
        <v>45</v>
      </c>
      <c r="GL2" s="34" t="s">
        <v>46</v>
      </c>
      <c r="GM2" s="34" t="s">
        <v>47</v>
      </c>
      <c r="GN2" s="34" t="s">
        <v>48</v>
      </c>
      <c r="GO2" s="34" t="s">
        <v>49</v>
      </c>
      <c r="GQ2" s="31" t="s">
        <v>39</v>
      </c>
      <c r="GR2" s="32" t="s">
        <v>40</v>
      </c>
      <c r="GS2" s="32" t="s">
        <v>41</v>
      </c>
      <c r="GT2" s="32" t="s">
        <v>42</v>
      </c>
      <c r="GU2" s="32" t="s">
        <v>43</v>
      </c>
      <c r="GV2" s="33" t="s">
        <v>44</v>
      </c>
      <c r="GW2" s="34" t="s">
        <v>45</v>
      </c>
      <c r="GX2" s="34" t="s">
        <v>46</v>
      </c>
      <c r="GY2" s="34" t="s">
        <v>47</v>
      </c>
      <c r="GZ2" s="34" t="s">
        <v>48</v>
      </c>
      <c r="HA2" s="34" t="s">
        <v>49</v>
      </c>
      <c r="HC2" s="31" t="s">
        <v>39</v>
      </c>
      <c r="HD2" s="32" t="s">
        <v>40</v>
      </c>
      <c r="HE2" s="32" t="s">
        <v>41</v>
      </c>
      <c r="HF2" s="32" t="s">
        <v>42</v>
      </c>
      <c r="HG2" s="32" t="s">
        <v>43</v>
      </c>
      <c r="HH2" s="33" t="s">
        <v>44</v>
      </c>
      <c r="HI2" s="34" t="s">
        <v>45</v>
      </c>
      <c r="HJ2" s="34" t="s">
        <v>46</v>
      </c>
      <c r="HK2" s="34" t="s">
        <v>47</v>
      </c>
      <c r="HL2" s="34" t="s">
        <v>48</v>
      </c>
      <c r="HM2" s="34" t="s">
        <v>49</v>
      </c>
      <c r="HO2" s="31" t="s">
        <v>39</v>
      </c>
      <c r="HP2" s="32" t="s">
        <v>40</v>
      </c>
      <c r="HQ2" s="32" t="s">
        <v>41</v>
      </c>
      <c r="HR2" s="32" t="s">
        <v>42</v>
      </c>
      <c r="HS2" s="32" t="s">
        <v>43</v>
      </c>
      <c r="HT2" s="33" t="s">
        <v>44</v>
      </c>
      <c r="HU2" s="34" t="s">
        <v>45</v>
      </c>
      <c r="HV2" s="34" t="s">
        <v>46</v>
      </c>
      <c r="HW2" s="34" t="s">
        <v>47</v>
      </c>
      <c r="HX2" s="34" t="s">
        <v>48</v>
      </c>
      <c r="HY2" s="34" t="s">
        <v>49</v>
      </c>
      <c r="IA2" s="31" t="s">
        <v>39</v>
      </c>
      <c r="IB2" s="32" t="s">
        <v>40</v>
      </c>
      <c r="IC2" s="32" t="s">
        <v>41</v>
      </c>
      <c r="ID2" s="32" t="s">
        <v>42</v>
      </c>
      <c r="IE2" s="32" t="s">
        <v>43</v>
      </c>
      <c r="IF2" s="33" t="s">
        <v>44</v>
      </c>
      <c r="IG2" s="34" t="s">
        <v>45</v>
      </c>
      <c r="IH2" s="34" t="s">
        <v>46</v>
      </c>
      <c r="II2" s="34" t="s">
        <v>47</v>
      </c>
      <c r="IJ2" s="34" t="s">
        <v>48</v>
      </c>
      <c r="IK2" s="34" t="s">
        <v>49</v>
      </c>
      <c r="IL2" s="38" t="s">
        <v>44</v>
      </c>
      <c r="IM2" s="39" t="s">
        <v>45</v>
      </c>
      <c r="IN2" s="39" t="s">
        <v>46</v>
      </c>
      <c r="IO2" s="39" t="s">
        <v>47</v>
      </c>
      <c r="IP2" s="39" t="s">
        <v>48</v>
      </c>
      <c r="IQ2" s="39" t="s">
        <v>49</v>
      </c>
    </row>
    <row r="3" spans="2:251" ht="15" customHeight="1" x14ac:dyDescent="0.4">
      <c r="B3" s="276">
        <v>1</v>
      </c>
      <c r="C3" s="278">
        <f>고객요구사항도출표!C5</f>
        <v>0</v>
      </c>
      <c r="D3" s="40" t="s">
        <v>51</v>
      </c>
      <c r="E3" s="41"/>
      <c r="F3" s="41"/>
      <c r="G3" s="41"/>
      <c r="H3" s="41"/>
      <c r="I3" s="41"/>
      <c r="J3" s="41" t="str">
        <f>IF(AND(E3="*",OR(F4="*",G4="*",H4="*")), 1,"")</f>
        <v/>
      </c>
      <c r="K3" s="41" t="str">
        <f>IF(AND(E3="*",I4="*"),1,"")</f>
        <v/>
      </c>
      <c r="L3" s="41" t="str">
        <f>IF(AND(I4="*", OR(F3="*", G3="*",H3="*")),1,"")</f>
        <v/>
      </c>
      <c r="M3" s="41" t="str">
        <f>IF(AND(E4="*",OR(F3="*",G3="*",H3="*",I3="*")),1,IF(AND(I3="*",OR(E4="*",F4="*",G4="*",H4="*")),1,""))</f>
        <v/>
      </c>
      <c r="N3" s="41" t="str">
        <f>IF(AND(F3="*",OR(F4="*",G4="*",H4="*")),1,IF(AND(G3="*",OR(F4="*",G4="*",H4="*")),1,IF(AND(H3="*",OR(F4="*",G4="*",H4="*")),1,"")))</f>
        <v/>
      </c>
      <c r="O3" s="41" t="str">
        <f>IF(AND(E3="*",E4="*"),1,"")</f>
        <v/>
      </c>
      <c r="Q3" s="41"/>
      <c r="R3" s="41"/>
      <c r="S3" s="41"/>
      <c r="T3" s="41"/>
      <c r="U3" s="41"/>
      <c r="V3" s="41" t="str">
        <f>IF(AND(Q3="*",OR(R4="*",S4="*",T4="*")), 1,"")</f>
        <v/>
      </c>
      <c r="W3" s="41" t="str">
        <f>IF(AND(Q3="*",U4="*"),1,"")</f>
        <v/>
      </c>
      <c r="X3" s="41" t="str">
        <f>IF(AND(U4="*", OR(R3="*", S3="*",T3="*")),1,"")</f>
        <v/>
      </c>
      <c r="Y3" s="41" t="str">
        <f>IF(AND(Q4="*",OR(R3="*",S3="*",T3="*",U3="*")),1,IF(AND(U3="*",OR(Q4="*",R4="*",S4="*",T4="*")),1,""))</f>
        <v/>
      </c>
      <c r="Z3" s="41" t="str">
        <f>IF(AND(R3="*",OR(R4="*",S4="*",T4="*")),1,IF(AND(S3="*",OR(R4="*",S4="*",T4="*")),1,IF(AND(T3="*",OR(R4="*",S4="*",T4="*")),1,"")))</f>
        <v/>
      </c>
      <c r="AA3" s="41" t="str">
        <f>IF(AND(Q3="*",Q4="*"),1,"")</f>
        <v/>
      </c>
      <c r="AC3" s="41"/>
      <c r="AD3" s="41"/>
      <c r="AE3" s="41"/>
      <c r="AF3" s="41"/>
      <c r="AG3" s="41"/>
      <c r="AH3" s="41" t="str">
        <f>IF(AND(AC3="*",OR(AD4="*",AE4="*",AF4="*")), 1,"")</f>
        <v/>
      </c>
      <c r="AI3" s="41" t="str">
        <f>IF(AND(AC3="*",AG4="*"),1,"")</f>
        <v/>
      </c>
      <c r="AJ3" s="41" t="str">
        <f>IF(AND(AG4="*", OR(AD3="*", AE3="*",AF3="*")),1,"")</f>
        <v/>
      </c>
      <c r="AK3" s="41" t="str">
        <f>IF(AND(AC4="*",OR(AD3="*",AE3="*",AF3="*",AG3="*")),1,IF(AND(AG3="*",OR(AC4="*",AD4="*",AE4="*",AF4="*")),1,""))</f>
        <v/>
      </c>
      <c r="AL3" s="41" t="str">
        <f>IF(AND(AD3="*",OR(AD4="*",AE4="*",AF4="*")),1,IF(AND(AE3="*",OR(AD4="*",AE4="*",AF4="*")),1,IF(AND(AF3="*",OR(AD4="*",AE4="*",AF4="*")),1,"")))</f>
        <v/>
      </c>
      <c r="AM3" s="41" t="str">
        <f>IF(AND(AC3="*",AC4="*"),1,"")</f>
        <v/>
      </c>
      <c r="AO3" s="41"/>
      <c r="AP3" s="41"/>
      <c r="AQ3" s="41"/>
      <c r="AR3" s="41"/>
      <c r="AS3" s="41"/>
      <c r="AT3" s="41" t="str">
        <f>IF(AND(AO3="*",OR(AP4="*",AQ4="*",AR4="*")), 1,"")</f>
        <v/>
      </c>
      <c r="AU3" s="41" t="str">
        <f>IF(AND(AO3="*",AS4="*"),1,"")</f>
        <v/>
      </c>
      <c r="AV3" s="41" t="str">
        <f>IF(AND(AS4="*", OR(AP3="*", AQ3="*",AR3="*")),1,"")</f>
        <v/>
      </c>
      <c r="AW3" s="41" t="str">
        <f>IF(AND(AO4="*",OR(AP3="*",AQ3="*",AR3="*",AS3="*")),1,IF(AND(AS3="*",OR(AO4="*",AP4="*",AQ4="*",AR4="*")),1,""))</f>
        <v/>
      </c>
      <c r="AX3" s="41" t="str">
        <f>IF(AND(AP3="*",OR(AP4="*",AQ4="*",AR4="*")),1,IF(AND(AQ3="*",OR(AP4="*",AQ4="*",AR4="*")),1,IF(AND(AR3="*",OR(AP4="*",AQ4="*",AR4="*")),1,"")))</f>
        <v/>
      </c>
      <c r="AY3" s="41" t="str">
        <f>IF(AND(AO3="*",AO4="*"),1,"")</f>
        <v/>
      </c>
      <c r="BA3" s="41"/>
      <c r="BB3" s="41"/>
      <c r="BC3" s="41"/>
      <c r="BD3" s="41"/>
      <c r="BE3" s="41"/>
      <c r="BF3" s="41" t="str">
        <f>IF(AND(BA3="*",OR(BB4="*",BC4="*",BD4="*")), 1,"")</f>
        <v/>
      </c>
      <c r="BG3" s="41" t="str">
        <f>IF(AND(BA3="*",BE4="*"),1,"")</f>
        <v/>
      </c>
      <c r="BH3" s="41" t="str">
        <f>IF(AND(BE4="*", OR(BB3="*", BC3="*",BD3="*")),1,"")</f>
        <v/>
      </c>
      <c r="BI3" s="41" t="str">
        <f>IF(AND(BA4="*",OR(BB3="*",BC3="*",BD3="*",BE3="*")),1,IF(AND(BE3="*",OR(BA4="*",BB4="*",BC4="*",BD4="*")),1,""))</f>
        <v/>
      </c>
      <c r="BJ3" s="41" t="str">
        <f>IF(AND(BB3="*",OR(BB4="*",BC4="*",BD4="*")),1,IF(AND(BC3="*",OR(BB4="*",BC4="*",BD4="*")),1,IF(AND(BD3="*",OR(BB4="*",BC4="*",BD4="*")),1,"")))</f>
        <v/>
      </c>
      <c r="BK3" s="41" t="str">
        <f>IF(AND(BA3="*",BA4="*"),1,"")</f>
        <v/>
      </c>
      <c r="BM3" s="41"/>
      <c r="BN3" s="41"/>
      <c r="BO3" s="41"/>
      <c r="BP3" s="41"/>
      <c r="BQ3" s="41"/>
      <c r="BR3" s="41"/>
      <c r="BS3" s="41" t="str">
        <f>IF(AND(BM3="*",OR(BN4="*",BO4="*",BP4="*")), 1,"")</f>
        <v/>
      </c>
      <c r="BT3" s="41" t="str">
        <f>IF(AND(BM3="*",BQ4="*"),1,"")</f>
        <v/>
      </c>
      <c r="BU3" s="41" t="str">
        <f>IF(AND(BQ4="*", OR(BN3="*", BO3="*",BP3="*")),1,"")</f>
        <v/>
      </c>
      <c r="BV3" s="41" t="str">
        <f>IF(AND(BM4="*",OR(BN3="*",BO3="*",BP3="*",BQ3="*")),1,IF(AND(BQ3="*",OR(BM4="*",BN4="*",BO4="*",BP4="*")),1,""))</f>
        <v/>
      </c>
      <c r="BW3" s="41" t="str">
        <f>IF(AND(BN3="*",OR(BN4="*",BO4="*",BP4="*")),1,IF(AND(BO3="*",OR(BN4="*",BO4="*",BP4="*")),1,IF(AND(BP3="*",OR(BN4="*",BO4="*",BP4="*")),1,"")))</f>
        <v/>
      </c>
      <c r="BX3" s="41" t="str">
        <f>IF(AND(BM3="*",BM4="*"),1,"")</f>
        <v/>
      </c>
      <c r="BZ3" s="41"/>
      <c r="CA3" s="41"/>
      <c r="CB3" s="41"/>
      <c r="CC3" s="41"/>
      <c r="CD3" s="41"/>
      <c r="CE3" s="41" t="str">
        <f>IF(AND(BZ3="*",OR(CA4="*",CB4="*",CC4="*")), 1,"")</f>
        <v/>
      </c>
      <c r="CF3" s="41" t="str">
        <f>IF(AND(BZ3="*",CD4="*"),1,"")</f>
        <v/>
      </c>
      <c r="CG3" s="41" t="str">
        <f>IF(AND(CD4="*", OR(CA3="*", CB3="*",CC3="*")),1,"")</f>
        <v/>
      </c>
      <c r="CH3" s="41" t="str">
        <f>IF(AND(BZ4="*",OR(CA3="*",CB3="*",CC3="*",CD3="*")),1,IF(AND(CD3="*",OR(BZ4="*",CA4="*",CB4="*",CC4="*")),1,""))</f>
        <v/>
      </c>
      <c r="CI3" s="41" t="str">
        <f>IF(AND(CA3="*",OR(CA4="*",CB4="*",CC4="*")),1,IF(AND(CB3="*",OR(CA4="*",CB4="*",CC4="*")),1,IF(AND(CC3="*",OR(CA4="*",CB4="*",CC4="*")),1,"")))</f>
        <v/>
      </c>
      <c r="CJ3" s="41" t="str">
        <f>IF(AND(BZ3="*",BZ4="*"),1,"")</f>
        <v/>
      </c>
      <c r="CL3" s="41"/>
      <c r="CM3" s="41"/>
      <c r="CN3" s="41"/>
      <c r="CO3" s="41"/>
      <c r="CP3" s="41"/>
      <c r="CQ3" s="41" t="str">
        <f>IF(AND(CL3="*",OR(CM4="*",CN4="*",CO4="*")), 1,"")</f>
        <v/>
      </c>
      <c r="CR3" s="41" t="str">
        <f>IF(AND(CL3="*",CP4="*"),1,"")</f>
        <v/>
      </c>
      <c r="CS3" s="41" t="str">
        <f>IF(AND(CP4="*", OR(CM3="*", CN3="*",CO3="*")),1,"")</f>
        <v/>
      </c>
      <c r="CT3" s="41" t="str">
        <f>IF(AND(CL4="*",OR(CM3="*",CN3="*",CO3="*",CP3="*")),1,IF(AND(CP3="*",OR(CL4="*",CM4="*",CN4="*",CO4="*")),1,""))</f>
        <v/>
      </c>
      <c r="CU3" s="41" t="str">
        <f>IF(AND(CM3="*",OR(CM4="*",CN4="*",CO4="*")),1,IF(AND(CN3="*",OR(CM4="*",CN4="*",CO4="*")),1,IF(AND(CO3="*",OR(CM4="*",CN4="*",CO4="*")),1,"")))</f>
        <v/>
      </c>
      <c r="CV3" s="41" t="str">
        <f>IF(AND(CL3="*",CL4="*"),1,"")</f>
        <v/>
      </c>
      <c r="CX3" s="41"/>
      <c r="CY3" s="41"/>
      <c r="CZ3" s="41"/>
      <c r="DA3" s="41"/>
      <c r="DB3" s="41"/>
      <c r="DC3" s="41" t="str">
        <f>IF(AND(CX3="*",OR(CY4="*",CZ4="*",DA4="*")), 1,"")</f>
        <v/>
      </c>
      <c r="DD3" s="41" t="str">
        <f>IF(AND(CX3="*",DB4="*"),1,"")</f>
        <v/>
      </c>
      <c r="DE3" s="41" t="str">
        <f>IF(AND(DB4="*", OR(CY3="*", CZ3="*",DA3="*")),1,"")</f>
        <v/>
      </c>
      <c r="DF3" s="41" t="str">
        <f>IF(AND(CX4="*",OR(CY3="*",CZ3="*",DA3="*",DB3="*")),1,IF(AND(DB3="*",OR(CX4="*",CY4="*",CZ4="*",DA4="*")),1,""))</f>
        <v/>
      </c>
      <c r="DG3" s="41" t="str">
        <f>IF(AND(CY3="*",OR(CY4="*",CZ4="*",DA4="*")),1,IF(AND(CZ3="*",OR(CY4="*",CZ4="*",DA4="*")),1,IF(AND(DA3="*",OR(CY4="*",CZ4="*",DA4="*")),1,"")))</f>
        <v/>
      </c>
      <c r="DH3" s="41" t="str">
        <f>IF(AND(CX3="*",CX4="*"),1,"")</f>
        <v/>
      </c>
      <c r="DJ3" s="41"/>
      <c r="DK3" s="41"/>
      <c r="DL3" s="41"/>
      <c r="DM3" s="41"/>
      <c r="DN3" s="41"/>
      <c r="DO3" s="41" t="str">
        <f>IF(AND(DJ3="*",OR(DK4="*",DL4="*",DM4="*")), 1,"")</f>
        <v/>
      </c>
      <c r="DP3" s="41" t="str">
        <f>IF(AND(DJ3="*",DN4="*"),1,"")</f>
        <v/>
      </c>
      <c r="DQ3" s="41" t="str">
        <f>IF(AND(DN4="*", OR(DK3="*", DL3="*",DM3="*")),1,"")</f>
        <v/>
      </c>
      <c r="DR3" s="41" t="str">
        <f>IF(AND(DJ4="*",OR(DK3="*",DL3="*",DM3="*",DN3="*")),1,IF(AND(DN3="*",OR(DJ4="*",DK4="*",DL4="*",DM4="*")),1,""))</f>
        <v/>
      </c>
      <c r="DS3" s="41" t="str">
        <f>IF(AND(DK3="*",OR(DK4="*",DL4="*",DM4="*")),1,IF(AND(DL3="*",OR(DK4="*",DL4="*",DM4="*")),1,IF(AND(DM3="*",OR(DK4="*",DL4="*",DM4="*")),1,"")))</f>
        <v/>
      </c>
      <c r="DT3" s="41" t="str">
        <f>IF(AND(DJ3="*",DJ4="*"),1,"")</f>
        <v/>
      </c>
      <c r="DV3" s="41"/>
      <c r="DW3" s="41"/>
      <c r="DX3" s="41"/>
      <c r="DY3" s="41"/>
      <c r="DZ3" s="41"/>
      <c r="EA3" s="41" t="str">
        <f>IF(AND(DV3="*",OR(DW4="*",DX4="*",DY4="*")), 1,"")</f>
        <v/>
      </c>
      <c r="EB3" s="41" t="str">
        <f>IF(AND(DV3="*",DZ4="*"),1,"")</f>
        <v/>
      </c>
      <c r="EC3" s="41" t="str">
        <f>IF(AND(DZ4="*", OR(DW3="*", DX3="*",DY3="*")),1,"")</f>
        <v/>
      </c>
      <c r="ED3" s="41" t="str">
        <f>IF(AND(DV4="*",OR(DW3="*",DX3="*",DY3="*",DZ3="*")),1,IF(AND(DZ3="*",OR(DV4="*",DW4="*",DX4="*",DY4="*")),1,""))</f>
        <v/>
      </c>
      <c r="EE3" s="41" t="str">
        <f>IF(AND(DW3="*",OR(DW4="*",DX4="*",DY4="*")),1,IF(AND(DX3="*",OR(DW4="*",DX4="*",DY4="*")),1,IF(AND(DY3="*",OR(DW4="*",DX4="*",DY4="*")),1,"")))</f>
        <v/>
      </c>
      <c r="EF3" s="41" t="str">
        <f>IF(AND(DV3="*",DV4="*"),1,"")</f>
        <v/>
      </c>
      <c r="EH3" s="41"/>
      <c r="EI3" s="41"/>
      <c r="EJ3" s="41"/>
      <c r="EK3" s="41"/>
      <c r="EL3" s="41"/>
      <c r="EM3" s="41" t="str">
        <f>IF(AND(EH3="*",OR(EI4="*",EJ4="*",EK4="*")), 1,"")</f>
        <v/>
      </c>
      <c r="EN3" s="41" t="str">
        <f>IF(AND(EH3="*",EL4="*"),1,"")</f>
        <v/>
      </c>
      <c r="EO3" s="41" t="str">
        <f>IF(AND(EL4="*", OR(EI3="*", EJ3="*",EK3="*")),1,"")</f>
        <v/>
      </c>
      <c r="EP3" s="41" t="str">
        <f>IF(AND(EH4="*",OR(EI3="*",EJ3="*",EK3="*",EL3="*")),1,IF(AND(EL3="*",OR(EH4="*",EI4="*",EJ4="*",EK4="*")),1,""))</f>
        <v/>
      </c>
      <c r="EQ3" s="41" t="str">
        <f>IF(AND(EI3="*",OR(EI4="*",EJ4="*",EK4="*")),1,IF(AND(EJ3="*",OR(EI4="*",EJ4="*",EK4="*")),1,IF(AND(EK3="*",OR(EI4="*",EJ4="*",EK4="*")),1,"")))</f>
        <v/>
      </c>
      <c r="ER3" s="41" t="str">
        <f>IF(AND(EH3="*",EH4="*"),1,"")</f>
        <v/>
      </c>
      <c r="ET3" s="41"/>
      <c r="EU3" s="41"/>
      <c r="EV3" s="41"/>
      <c r="EW3" s="41"/>
      <c r="EX3" s="41"/>
      <c r="EY3" s="41" t="str">
        <f>IF(AND(ET3="*",OR(EU4="*",EV4="*",EW4="*")), 1,"")</f>
        <v/>
      </c>
      <c r="EZ3" s="41" t="str">
        <f>IF(AND(ET3="*",EX4="*"),1,"")</f>
        <v/>
      </c>
      <c r="FA3" s="41" t="str">
        <f>IF(AND(EX4="*", OR(EU3="*", EV3="*",EW3="*")),1,"")</f>
        <v/>
      </c>
      <c r="FB3" s="41" t="str">
        <f>IF(AND(ET4="*",OR(EU3="*",EV3="*",EW3="*",EX3="*")),1,IF(AND(EX3="*",OR(ET4="*",EU4="*",EV4="*",EW4="*")),1,""))</f>
        <v/>
      </c>
      <c r="FC3" s="41" t="str">
        <f>IF(AND(EU3="*",OR(EU4="*",EV4="*",EW4="*")),1,IF(AND(EV3="*",OR(EU4="*",EV4="*",EW4="*")),1,IF(AND(EW3="*",OR(EU4="*",EV4="*",EW4="*")),1,"")))</f>
        <v/>
      </c>
      <c r="FD3" s="41" t="str">
        <f>IF(AND(ET3="*",ET4="*"),1,"")</f>
        <v/>
      </c>
      <c r="FF3" s="41"/>
      <c r="FG3" s="41"/>
      <c r="FH3" s="41"/>
      <c r="FI3" s="41"/>
      <c r="FJ3" s="41"/>
      <c r="FK3" s="41" t="str">
        <f>IF(AND(FF3="*",OR(FG4="*",FH4="*",FI4="*")), 1,"")</f>
        <v/>
      </c>
      <c r="FL3" s="41" t="str">
        <f>IF(AND(FF3="*",FJ4="*"),1,"")</f>
        <v/>
      </c>
      <c r="FM3" s="41" t="str">
        <f>IF(AND(FJ4="*", OR(FG3="*", FH3="*",FI3="*")),1,"")</f>
        <v/>
      </c>
      <c r="FN3" s="41" t="str">
        <f>IF(AND(FF4="*",OR(FG3="*",FH3="*",FI3="*",FJ3="*")),1,IF(AND(FJ3="*",OR(FF4="*",FG4="*",FH4="*",FI4="*")),1,""))</f>
        <v/>
      </c>
      <c r="FO3" s="41" t="str">
        <f>IF(AND(FG3="*",OR(FG4="*",FH4="*",FI4="*")),1,IF(AND(FH3="*",OR(FG4="*",FH4="*",FI4="*")),1,IF(AND(FI3="*",OR(FG4="*",FH4="*",FI4="*")),1,"")))</f>
        <v/>
      </c>
      <c r="FP3" s="41" t="str">
        <f>IF(AND(FF3="*",FF4="*"),1,"")</f>
        <v/>
      </c>
      <c r="FR3" s="41"/>
      <c r="FS3" s="41"/>
      <c r="FT3" s="41"/>
      <c r="FU3" s="41"/>
      <c r="FV3" s="41"/>
      <c r="FW3" s="41" t="str">
        <f>IF(AND(FR3="*",OR(FS4="*",FT4="*",FU4="*")), 1,"")</f>
        <v/>
      </c>
      <c r="FX3" s="41" t="str">
        <f>IF(AND(FR3="*",FV4="*"),1,"")</f>
        <v/>
      </c>
      <c r="FY3" s="41" t="str">
        <f>IF(AND(FV4="*", OR(FS3="*", FT3="*",FU3="*")),1,"")</f>
        <v/>
      </c>
      <c r="FZ3" s="41" t="str">
        <f>IF(AND(FR4="*",OR(FS3="*",FT3="*",FU3="*",FV3="*")),1,IF(AND(FV3="*",OR(FR4="*",FS4="*",FT4="*",FU4="*")),1,""))</f>
        <v/>
      </c>
      <c r="GA3" s="41" t="str">
        <f>IF(AND(FS3="*",OR(FS4="*",FT4="*",FU4="*")),1,IF(AND(FT3="*",OR(FS4="*",FT4="*",FU4="*")),1,IF(AND(FU3="*",OR(FS4="*",FT4="*",FU4="*")),1,"")))</f>
        <v/>
      </c>
      <c r="GB3" s="41" t="str">
        <f>IF(AND(FR3="*",FR4="*"),1,"")</f>
        <v/>
      </c>
      <c r="GD3" s="41"/>
      <c r="GE3" s="41"/>
      <c r="GF3" s="41"/>
      <c r="GG3" s="41"/>
      <c r="GH3" s="41"/>
      <c r="GI3" s="41"/>
      <c r="GJ3" s="41" t="str">
        <f>IF(AND(GD3="*",OR(GE4="*",GF4="*",GG4="*")), 1,"")</f>
        <v/>
      </c>
      <c r="GK3" s="41" t="str">
        <f>IF(AND(GD3="*",GH4="*"),1,"")</f>
        <v/>
      </c>
      <c r="GL3" s="41" t="str">
        <f>IF(AND(GH4="*", OR(GE3="*", GF3="*",GG3="*")),1,"")</f>
        <v/>
      </c>
      <c r="GM3" s="41" t="str">
        <f>IF(AND(GD4="*",OR(GE3="*",GF3="*",GG3="*",GH3="*")),1,IF(AND(GH3="*",OR(GD4="*",GE4="*",GF4="*",GG4="*")),1,""))</f>
        <v/>
      </c>
      <c r="GN3" s="41" t="str">
        <f>IF(AND(GE3="*",OR(GE4="*",GF4="*",GG4="*")),1,IF(AND(GF3="*",OR(GE4="*",GF4="*",GG4="*")),1,IF(AND(GG3="*",OR(GE4="*",GF4="*",GG4="*")),1,"")))</f>
        <v/>
      </c>
      <c r="GO3" s="41" t="str">
        <f>IF(AND(GD3="*",GD4="*"),1,"")</f>
        <v/>
      </c>
      <c r="GQ3" s="41"/>
      <c r="GR3" s="41"/>
      <c r="GS3" s="41"/>
      <c r="GT3" s="41"/>
      <c r="GU3" s="41"/>
      <c r="GV3" s="41" t="str">
        <f>IF(AND(GQ3="*",OR(GR4="*",GS4="*",GT4="*")), 1,"")</f>
        <v/>
      </c>
      <c r="GW3" s="41" t="str">
        <f>IF(AND(GQ3="*",GU4="*"),1,"")</f>
        <v/>
      </c>
      <c r="GX3" s="41" t="str">
        <f>IF(AND(GU4="*", OR(GR3="*", GS3="*",GT3="*")),1,"")</f>
        <v/>
      </c>
      <c r="GY3" s="41" t="str">
        <f>IF(AND(GQ4="*",OR(GR3="*",GS3="*",GT3="*",GU3="*")),1,IF(AND(GU3="*",OR(GQ4="*",GR4="*",GS4="*",GT4="*")),1,""))</f>
        <v/>
      </c>
      <c r="GZ3" s="41" t="str">
        <f>IF(AND(GR3="*",OR(GR4="*",GS4="*",GT4="*")),1,IF(AND(GS3="*",OR(GR4="*",GS4="*",GT4="*")),1,IF(AND(GT3="*",OR(GR4="*",GS4="*",GT4="*")),1,"")))</f>
        <v/>
      </c>
      <c r="HA3" s="41" t="str">
        <f>IF(AND(GQ3="*",GQ4="*"),1,"")</f>
        <v/>
      </c>
      <c r="HC3" s="41"/>
      <c r="HD3" s="41"/>
      <c r="HE3" s="41"/>
      <c r="HF3" s="41"/>
      <c r="HG3" s="41"/>
      <c r="HH3" s="41" t="str">
        <f>IF(AND(HC3="*",OR(HD4="*",HE4="*",HF4="*")), 1,"")</f>
        <v/>
      </c>
      <c r="HI3" s="41" t="str">
        <f>IF(AND(HC3="*",HG4="*"),1,"")</f>
        <v/>
      </c>
      <c r="HJ3" s="41" t="str">
        <f>IF(AND(HG4="*", OR(HD3="*", HE3="*",HF3="*")),1,"")</f>
        <v/>
      </c>
      <c r="HK3" s="41" t="str">
        <f>IF(AND(HC4="*",OR(HD3="*",HE3="*",HF3="*",HG3="*")),1,IF(AND(HG3="*",OR(HC4="*",HD4="*",HE4="*",HF4="*")),1,""))</f>
        <v/>
      </c>
      <c r="HL3" s="41" t="str">
        <f>IF(AND(HD3="*",OR(HD4="*",HE4="*",HF4="*")),1,IF(AND(HE3="*",OR(HD4="*",HE4="*",HF4="*")),1,IF(AND(HF3="*",OR(HD4="*",HE4="*",HF4="*")),1,"")))</f>
        <v/>
      </c>
      <c r="HM3" s="41" t="str">
        <f>IF(AND(HC3="*",HC4="*"),1,"")</f>
        <v/>
      </c>
      <c r="HO3" s="41"/>
      <c r="HP3" s="41"/>
      <c r="HQ3" s="41"/>
      <c r="HR3" s="41"/>
      <c r="HS3" s="41"/>
      <c r="HT3" s="41" t="str">
        <f>IF(AND(HO3="*",OR(HP4="*",HQ4="*",HR4="*")), 1,"")</f>
        <v/>
      </c>
      <c r="HU3" s="41" t="str">
        <f>IF(AND(HO3="*",HS4="*"),1,"")</f>
        <v/>
      </c>
      <c r="HV3" s="41" t="str">
        <f>IF(AND(HS4="*", OR(HP3="*", HQ3="*",HR3="*")),1,"")</f>
        <v/>
      </c>
      <c r="HW3" s="41" t="str">
        <f>IF(AND(HO4="*",OR(HP3="*",HQ3="*",HR3="*",HS3="*")),1,IF(AND(HS3="*",OR(HO4="*",HP4="*",HQ4="*",HR4="*")),1,""))</f>
        <v/>
      </c>
      <c r="HX3" s="41" t="str">
        <f>IF(AND(HP3="*",OR(HP4="*",HQ4="*",HR4="*")),1,IF(AND(HQ3="*",OR(HP4="*",HQ4="*",HR4="*")),1,IF(AND(HR3="*",OR(HP4="*",HQ4="*",HR4="*")),1,"")))</f>
        <v/>
      </c>
      <c r="HY3" s="41" t="str">
        <f>IF(AND(HO3="*",HO4="*"),1,"")</f>
        <v/>
      </c>
      <c r="IA3" s="41"/>
      <c r="IB3" s="41"/>
      <c r="IC3" s="41"/>
      <c r="ID3" s="41"/>
      <c r="IE3" s="41"/>
      <c r="IF3" s="41" t="str">
        <f>IF(AND(IA3="*",OR(IB4="*",IC4="*",ID4="*")), 1,"")</f>
        <v/>
      </c>
      <c r="IG3" s="41" t="str">
        <f>IF(AND(IA3="*",IE4="*"),1,"")</f>
        <v/>
      </c>
      <c r="IH3" s="41" t="str">
        <f>IF(AND(IE4="*", OR(IB3="*", IC3="*",ID3="*")),1,"")</f>
        <v/>
      </c>
      <c r="II3" s="41" t="str">
        <f>IF(AND(IA4="*",OR(IB3="*",IC3="*",ID3="*",IE3="*")),1,IF(AND(IE3="*",OR(IA4="*",IB4="*",IC4="*",ID4="*")),1,""))</f>
        <v/>
      </c>
      <c r="IJ3" s="41" t="str">
        <f>IF(AND(IB3="*",OR(IB4="*",IC4="*",ID4="*")),1,IF(AND(IC3="*",OR(IB4="*",IC4="*",ID4="*")),1,IF(AND(ID3="*",OR(IB4="*",IC4="*",ID4="*")),1,"")))</f>
        <v/>
      </c>
      <c r="IK3" s="41" t="str">
        <f>IF(AND(IA3="*",IA4="*"),1,"")</f>
        <v/>
      </c>
      <c r="IL3" s="41">
        <f>COUNT(J3,V3,AH3,AT3,BF3,BS3,CE3,CQ3,DC3,DO3,EA3,EM3,EY3,FK3,FW3,GJ3,GV3,HH3,HT3,IF3)</f>
        <v>0</v>
      </c>
      <c r="IM3" s="41">
        <f t="shared" ref="IM3:IQ3" si="0">COUNT(K3,W3,AI3,AU3,BG3,BT3,CF3,CR3,DD3,DP3,EB3,EN3,EZ3,FL3,FX3,GK3,GW3,HI3,HU3,IG3)</f>
        <v>0</v>
      </c>
      <c r="IN3" s="41">
        <f t="shared" si="0"/>
        <v>0</v>
      </c>
      <c r="IO3" s="41">
        <f t="shared" si="0"/>
        <v>0</v>
      </c>
      <c r="IP3" s="41">
        <f t="shared" si="0"/>
        <v>0</v>
      </c>
      <c r="IQ3" s="41">
        <f t="shared" si="0"/>
        <v>0</v>
      </c>
    </row>
    <row r="4" spans="2:251" ht="15" customHeight="1" x14ac:dyDescent="0.4">
      <c r="B4" s="277"/>
      <c r="C4" s="279"/>
      <c r="D4" s="42" t="s">
        <v>52</v>
      </c>
      <c r="E4" s="41"/>
      <c r="F4" s="41"/>
      <c r="G4" s="41"/>
      <c r="H4" s="41"/>
      <c r="I4" s="41"/>
      <c r="J4" s="43"/>
      <c r="K4" s="43"/>
      <c r="L4" s="43"/>
      <c r="M4" s="43"/>
      <c r="N4" s="43"/>
      <c r="O4" s="43"/>
      <c r="Q4" s="41"/>
      <c r="R4" s="41"/>
      <c r="S4" s="41"/>
      <c r="T4" s="41"/>
      <c r="U4" s="41"/>
      <c r="V4" s="43"/>
      <c r="W4" s="43"/>
      <c r="X4" s="43"/>
      <c r="Y4" s="43"/>
      <c r="Z4" s="43"/>
      <c r="AA4" s="43"/>
      <c r="AC4" s="41"/>
      <c r="AD4" s="41"/>
      <c r="AE4" s="41"/>
      <c r="AF4" s="41"/>
      <c r="AG4" s="41"/>
      <c r="AH4" s="43"/>
      <c r="AI4" s="43"/>
      <c r="AJ4" s="43"/>
      <c r="AK4" s="43"/>
      <c r="AL4" s="43"/>
      <c r="AM4" s="43"/>
      <c r="AO4" s="41"/>
      <c r="AP4" s="41"/>
      <c r="AQ4" s="41"/>
      <c r="AR4" s="41"/>
      <c r="AS4" s="41"/>
      <c r="AT4" s="43"/>
      <c r="AU4" s="43"/>
      <c r="AV4" s="43"/>
      <c r="AW4" s="43"/>
      <c r="AX4" s="43"/>
      <c r="AY4" s="43"/>
      <c r="BA4" s="41"/>
      <c r="BB4" s="41"/>
      <c r="BC4" s="41"/>
      <c r="BD4" s="41"/>
      <c r="BE4" s="41"/>
      <c r="BF4" s="43"/>
      <c r="BG4" s="43"/>
      <c r="BH4" s="43"/>
      <c r="BI4" s="43"/>
      <c r="BJ4" s="43"/>
      <c r="BK4" s="43"/>
      <c r="BM4" s="41"/>
      <c r="BN4" s="41"/>
      <c r="BO4" s="41"/>
      <c r="BP4" s="41"/>
      <c r="BQ4" s="41"/>
      <c r="BR4" s="41"/>
      <c r="BS4" s="43"/>
      <c r="BT4" s="43"/>
      <c r="BU4" s="43"/>
      <c r="BV4" s="43"/>
      <c r="BW4" s="43"/>
      <c r="BX4" s="43"/>
      <c r="BZ4" s="41"/>
      <c r="CA4" s="41"/>
      <c r="CB4" s="41"/>
      <c r="CC4" s="41"/>
      <c r="CD4" s="41"/>
      <c r="CE4" s="43"/>
      <c r="CF4" s="43"/>
      <c r="CG4" s="43"/>
      <c r="CH4" s="43"/>
      <c r="CI4" s="43"/>
      <c r="CJ4" s="43"/>
      <c r="CL4" s="41"/>
      <c r="CM4" s="41"/>
      <c r="CN4" s="41"/>
      <c r="CO4" s="41"/>
      <c r="CP4" s="41"/>
      <c r="CQ4" s="43"/>
      <c r="CR4" s="43"/>
      <c r="CS4" s="43"/>
      <c r="CT4" s="43"/>
      <c r="CU4" s="43"/>
      <c r="CV4" s="43"/>
      <c r="CX4" s="41"/>
      <c r="CY4" s="41"/>
      <c r="CZ4" s="41"/>
      <c r="DA4" s="41"/>
      <c r="DB4" s="41"/>
      <c r="DC4" s="43"/>
      <c r="DD4" s="43"/>
      <c r="DE4" s="43"/>
      <c r="DF4" s="43"/>
      <c r="DG4" s="43"/>
      <c r="DH4" s="43"/>
      <c r="DJ4" s="41"/>
      <c r="DK4" s="41"/>
      <c r="DL4" s="41"/>
      <c r="DM4" s="41"/>
      <c r="DN4" s="41"/>
      <c r="DO4" s="43"/>
      <c r="DP4" s="43"/>
      <c r="DQ4" s="43"/>
      <c r="DR4" s="43"/>
      <c r="DS4" s="43"/>
      <c r="DT4" s="43"/>
      <c r="DV4" s="41"/>
      <c r="DW4" s="41"/>
      <c r="DX4" s="41"/>
      <c r="DY4" s="41"/>
      <c r="DZ4" s="41"/>
      <c r="EA4" s="43"/>
      <c r="EB4" s="43"/>
      <c r="EC4" s="43"/>
      <c r="ED4" s="43"/>
      <c r="EE4" s="43"/>
      <c r="EF4" s="43"/>
      <c r="EH4" s="41"/>
      <c r="EI4" s="41"/>
      <c r="EJ4" s="41"/>
      <c r="EK4" s="41"/>
      <c r="EL4" s="41"/>
      <c r="EM4" s="43"/>
      <c r="EN4" s="43"/>
      <c r="EO4" s="43"/>
      <c r="EP4" s="43"/>
      <c r="EQ4" s="43"/>
      <c r="ER4" s="43"/>
      <c r="ET4" s="41"/>
      <c r="EU4" s="41"/>
      <c r="EV4" s="41"/>
      <c r="EW4" s="41"/>
      <c r="EX4" s="41"/>
      <c r="EY4" s="43"/>
      <c r="EZ4" s="43"/>
      <c r="FA4" s="43"/>
      <c r="FB4" s="43"/>
      <c r="FC4" s="43"/>
      <c r="FD4" s="43"/>
      <c r="FF4" s="41"/>
      <c r="FG4" s="41"/>
      <c r="FH4" s="41"/>
      <c r="FI4" s="41"/>
      <c r="FJ4" s="41"/>
      <c r="FK4" s="43"/>
      <c r="FL4" s="43"/>
      <c r="FM4" s="43"/>
      <c r="FN4" s="43"/>
      <c r="FO4" s="43"/>
      <c r="FP4" s="43"/>
      <c r="FR4" s="41"/>
      <c r="FS4" s="41"/>
      <c r="FT4" s="41"/>
      <c r="FU4" s="41"/>
      <c r="FV4" s="41"/>
      <c r="FW4" s="43"/>
      <c r="FX4" s="43"/>
      <c r="FY4" s="43"/>
      <c r="FZ4" s="43"/>
      <c r="GA4" s="43"/>
      <c r="GB4" s="43"/>
      <c r="GD4" s="41"/>
      <c r="GE4" s="41"/>
      <c r="GF4" s="41"/>
      <c r="GG4" s="41"/>
      <c r="GH4" s="41"/>
      <c r="GI4" s="41"/>
      <c r="GJ4" s="43"/>
      <c r="GK4" s="43"/>
      <c r="GL4" s="43"/>
      <c r="GM4" s="43"/>
      <c r="GN4" s="43"/>
      <c r="GO4" s="43"/>
      <c r="GQ4" s="41"/>
      <c r="GR4" s="41"/>
      <c r="GS4" s="41"/>
      <c r="GT4" s="41"/>
      <c r="GU4" s="41"/>
      <c r="GV4" s="43"/>
      <c r="GW4" s="43"/>
      <c r="GX4" s="43"/>
      <c r="GY4" s="43"/>
      <c r="GZ4" s="43"/>
      <c r="HA4" s="43"/>
      <c r="HC4" s="41"/>
      <c r="HD4" s="41"/>
      <c r="HE4" s="41"/>
      <c r="HF4" s="41"/>
      <c r="HG4" s="41"/>
      <c r="HH4" s="43"/>
      <c r="HI4" s="43"/>
      <c r="HJ4" s="43"/>
      <c r="HK4" s="43"/>
      <c r="HL4" s="43"/>
      <c r="HM4" s="43"/>
      <c r="HO4" s="41"/>
      <c r="HP4" s="41"/>
      <c r="HQ4" s="41"/>
      <c r="HR4" s="41"/>
      <c r="HS4" s="41"/>
      <c r="HT4" s="43"/>
      <c r="HU4" s="43"/>
      <c r="HV4" s="43"/>
      <c r="HW4" s="43"/>
      <c r="HX4" s="43"/>
      <c r="HY4" s="43"/>
      <c r="IA4" s="41"/>
      <c r="IB4" s="41"/>
      <c r="IC4" s="41"/>
      <c r="ID4" s="41"/>
      <c r="IE4" s="41"/>
      <c r="IF4" s="43"/>
      <c r="IG4" s="43"/>
      <c r="IH4" s="43"/>
      <c r="II4" s="43"/>
      <c r="IJ4" s="43"/>
      <c r="IK4" s="43"/>
    </row>
    <row r="5" spans="2:251" ht="15" customHeight="1" x14ac:dyDescent="0.4">
      <c r="B5" s="273">
        <v>2</v>
      </c>
      <c r="C5" s="274">
        <f>고객요구사항도출표!C6</f>
        <v>0</v>
      </c>
      <c r="D5" s="40" t="s">
        <v>53</v>
      </c>
      <c r="E5" s="44"/>
      <c r="F5" s="44"/>
      <c r="G5" s="44"/>
      <c r="H5" s="44"/>
      <c r="I5" s="44"/>
      <c r="J5" s="44" t="str">
        <f>IF(AND(E5="*",OR(F6="*",G6="*",H6="*")), 1,"")</f>
        <v/>
      </c>
      <c r="K5" s="44" t="str">
        <f>IF(AND(E5="*",I6="*"),1,"")</f>
        <v/>
      </c>
      <c r="L5" s="44" t="str">
        <f>IF(AND(I6="*", OR(F5="*", G5="*",H5="*")),1,"")</f>
        <v/>
      </c>
      <c r="M5" s="44" t="str">
        <f>IF(AND(E6="*",OR(F5="*",G5="*",H5="*",I5="*")),1,IF(AND(I5="*",OR(E6="*",F6="*",G6="*",H6="*")),1,""))</f>
        <v/>
      </c>
      <c r="N5" s="44" t="str">
        <f>IF(AND(F5="*",OR(F6="*",G6="*",H6="*")),1,IF(AND(G5="*",OR(F6="*",G6="*",H6="*")),1,IF(AND(H5="*",OR(F6="*",G6="*",H6="*")),1,"")))</f>
        <v/>
      </c>
      <c r="O5" s="44" t="str">
        <f>IF(AND(E5="*",E6="*"),1,"")</f>
        <v/>
      </c>
      <c r="Q5" s="44"/>
      <c r="R5" s="44"/>
      <c r="S5" s="44"/>
      <c r="T5" s="44"/>
      <c r="U5" s="44"/>
      <c r="V5" s="44" t="str">
        <f>IF(AND(Q5="*",OR(R6="*",S6="*",T6="*")), 1,"")</f>
        <v/>
      </c>
      <c r="W5" s="44" t="str">
        <f>IF(AND(Q5="*",U6="*"),1,"")</f>
        <v/>
      </c>
      <c r="X5" s="44" t="str">
        <f>IF(AND(U6="*", OR(R5="*", S5="*",T5="*")),1,"")</f>
        <v/>
      </c>
      <c r="Y5" s="44" t="str">
        <f>IF(AND(Q6="*",OR(R5="*",S5="*",T5="*",U5="*")),1,IF(AND(U5="*",OR(Q6="*",R6="*",S6="*",T6="*")),1,""))</f>
        <v/>
      </c>
      <c r="Z5" s="44" t="str">
        <f>IF(AND(R5="*",OR(R6="*",S6="*",T6="*")),1,IF(AND(S5="*",OR(R6="*",S6="*",T6="*")),1,IF(AND(T5="*",OR(R6="*",S6="*",T6="*")),1,"")))</f>
        <v/>
      </c>
      <c r="AA5" s="44" t="str">
        <f>IF(AND(Q5="*",Q6="*"),1,"")</f>
        <v/>
      </c>
      <c r="AC5" s="44"/>
      <c r="AD5" s="44"/>
      <c r="AE5" s="44"/>
      <c r="AF5" s="44"/>
      <c r="AG5" s="44"/>
      <c r="AH5" s="44" t="str">
        <f>IF(AND(AC5="*",OR(AD6="*",AE6="*",AF6="*")), 1,"")</f>
        <v/>
      </c>
      <c r="AI5" s="44" t="str">
        <f>IF(AND(AC5="*",AG6="*"),1,"")</f>
        <v/>
      </c>
      <c r="AJ5" s="44" t="str">
        <f>IF(AND(AG6="*", OR(AD5="*", AE5="*",AF5="*")),1,"")</f>
        <v/>
      </c>
      <c r="AK5" s="44" t="str">
        <f>IF(AND(AC6="*",OR(AD5="*",AE5="*",AF5="*",AG5="*")),1,IF(AND(AG5="*",OR(AC6="*",AD6="*",AE6="*",AF6="*")),1,""))</f>
        <v/>
      </c>
      <c r="AL5" s="44" t="str">
        <f>IF(AND(AD5="*",OR(AD6="*",AE6="*",AF6="*")),1,IF(AND(AE5="*",OR(AD6="*",AE6="*",AF6="*")),1,IF(AND(AF5="*",OR(AD6="*",AE6="*",AF6="*")),1,"")))</f>
        <v/>
      </c>
      <c r="AM5" s="44" t="str">
        <f>IF(AND(AC5="*",AC6="*"),1,"")</f>
        <v/>
      </c>
      <c r="AO5" s="44"/>
      <c r="AP5" s="44"/>
      <c r="AQ5" s="44"/>
      <c r="AR5" s="44"/>
      <c r="AS5" s="44"/>
      <c r="AT5" s="44" t="str">
        <f>IF(AND(AO5="*",OR(AP6="*",AQ6="*",AR6="*")), 1,"")</f>
        <v/>
      </c>
      <c r="AU5" s="44" t="str">
        <f>IF(AND(AO5="*",AS6="*"),1,"")</f>
        <v/>
      </c>
      <c r="AV5" s="44" t="str">
        <f>IF(AND(AS6="*", OR(AP5="*", AQ5="*",AR5="*")),1,"")</f>
        <v/>
      </c>
      <c r="AW5" s="44" t="str">
        <f>IF(AND(AO6="*",OR(AP5="*",AQ5="*",AR5="*",AS5="*")),1,IF(AND(AS5="*",OR(AO6="*",AP6="*",AQ6="*",AR6="*")),1,""))</f>
        <v/>
      </c>
      <c r="AX5" s="44" t="str">
        <f>IF(AND(AP5="*",OR(AP6="*",AQ6="*",AR6="*")),1,IF(AND(AQ5="*",OR(AP6="*",AQ6="*",AR6="*")),1,IF(AND(AR5="*",OR(AP6="*",AQ6="*",AR6="*")),1,"")))</f>
        <v/>
      </c>
      <c r="AY5" s="44" t="str">
        <f>IF(AND(AO5="*",AO6="*"),1,"")</f>
        <v/>
      </c>
      <c r="BA5" s="44"/>
      <c r="BB5" s="44"/>
      <c r="BC5" s="44"/>
      <c r="BD5" s="44"/>
      <c r="BE5" s="44"/>
      <c r="BF5" s="44" t="str">
        <f>IF(AND(BA5="*",OR(BB6="*",BC6="*",BD6="*")), 1,"")</f>
        <v/>
      </c>
      <c r="BG5" s="44" t="str">
        <f>IF(AND(BA5="*",BE6="*"),1,"")</f>
        <v/>
      </c>
      <c r="BH5" s="44" t="str">
        <f>IF(AND(BE6="*", OR(BB5="*", BC5="*",BD5="*")),1,"")</f>
        <v/>
      </c>
      <c r="BI5" s="44" t="str">
        <f>IF(AND(BA6="*",OR(BB5="*",BC5="*",BD5="*",BE5="*")),1,IF(AND(BE5="*",OR(BA6="*",BB6="*",BC6="*",BD6="*")),1,""))</f>
        <v/>
      </c>
      <c r="BJ5" s="44" t="str">
        <f>IF(AND(BB5="*",OR(BB6="*",BC6="*",BD6="*")),1,IF(AND(BC5="*",OR(BB6="*",BC6="*",BD6="*")),1,IF(AND(BD5="*",OR(BB6="*",BC6="*",BD6="*")),1,"")))</f>
        <v/>
      </c>
      <c r="BK5" s="44" t="str">
        <f>IF(AND(BA5="*",BA6="*"),1,"")</f>
        <v/>
      </c>
      <c r="BM5" s="44"/>
      <c r="BN5" s="44"/>
      <c r="BO5" s="44"/>
      <c r="BP5" s="44"/>
      <c r="BQ5" s="44"/>
      <c r="BR5" s="44"/>
      <c r="BS5" s="44" t="str">
        <f>IF(AND(BM5="*",OR(BN6="*",BO6="*",BP6="*")), 1,"")</f>
        <v/>
      </c>
      <c r="BT5" s="44" t="str">
        <f>IF(AND(BM5="*",BQ6="*"),1,"")</f>
        <v/>
      </c>
      <c r="BU5" s="44" t="str">
        <f>IF(AND(BQ6="*", OR(BN5="*", BO5="*",BP5="*")),1,"")</f>
        <v/>
      </c>
      <c r="BV5" s="44" t="str">
        <f>IF(AND(BM6="*",OR(BN5="*",BO5="*",BP5="*",BQ5="*")),1,IF(AND(BQ5="*",OR(BM6="*",BN6="*",BO6="*",BP6="*")),1,""))</f>
        <v/>
      </c>
      <c r="BW5" s="44" t="str">
        <f>IF(AND(BN5="*",OR(BN6="*",BO6="*",BP6="*")),1,IF(AND(BO5="*",OR(BN6="*",BO6="*",BP6="*")),1,IF(AND(BP5="*",OR(BN6="*",BO6="*",BP6="*")),1,"")))</f>
        <v/>
      </c>
      <c r="BX5" s="44" t="str">
        <f>IF(AND(BM5="*",BM6="*"),1,"")</f>
        <v/>
      </c>
      <c r="BZ5" s="44"/>
      <c r="CA5" s="44"/>
      <c r="CB5" s="44"/>
      <c r="CC5" s="44"/>
      <c r="CD5" s="44"/>
      <c r="CE5" s="44" t="str">
        <f>IF(AND(BZ5="*",OR(CA6="*",CB6="*",CC6="*")), 1,"")</f>
        <v/>
      </c>
      <c r="CF5" s="44" t="str">
        <f>IF(AND(BZ5="*",CD6="*"),1,"")</f>
        <v/>
      </c>
      <c r="CG5" s="44" t="str">
        <f>IF(AND(CD6="*", OR(CA5="*", CB5="*",CC5="*")),1,"")</f>
        <v/>
      </c>
      <c r="CH5" s="44" t="str">
        <f>IF(AND(BZ6="*",OR(CA5="*",CB5="*",CC5="*",CD5="*")),1,IF(AND(CD5="*",OR(BZ6="*",CA6="*",CB6="*",CC6="*")),1,""))</f>
        <v/>
      </c>
      <c r="CI5" s="44" t="str">
        <f>IF(AND(CA5="*",OR(CA6="*",CB6="*",CC6="*")),1,IF(AND(CB5="*",OR(CA6="*",CB6="*",CC6="*")),1,IF(AND(CC5="*",OR(CA6="*",CB6="*",CC6="*")),1,"")))</f>
        <v/>
      </c>
      <c r="CJ5" s="44" t="str">
        <f>IF(AND(BZ5="*",BZ6="*"),1,"")</f>
        <v/>
      </c>
      <c r="CL5" s="44"/>
      <c r="CM5" s="44"/>
      <c r="CN5" s="44"/>
      <c r="CO5" s="44"/>
      <c r="CP5" s="44"/>
      <c r="CQ5" s="44" t="str">
        <f>IF(AND(CL5="*",OR(CM6="*",CN6="*",CO6="*")), 1,"")</f>
        <v/>
      </c>
      <c r="CR5" s="44" t="str">
        <f>IF(AND(CL5="*",CP6="*"),1,"")</f>
        <v/>
      </c>
      <c r="CS5" s="44" t="str">
        <f>IF(AND(CP6="*", OR(CM5="*", CN5="*",CO5="*")),1,"")</f>
        <v/>
      </c>
      <c r="CT5" s="44" t="str">
        <f>IF(AND(CL6="*",OR(CM5="*",CN5="*",CO5="*",CP5="*")),1,IF(AND(CP5="*",OR(CL6="*",CM6="*",CN6="*",CO6="*")),1,""))</f>
        <v/>
      </c>
      <c r="CU5" s="44" t="str">
        <f>IF(AND(CM5="*",OR(CM6="*",CN6="*",CO6="*")),1,IF(AND(CN5="*",OR(CM6="*",CN6="*",CO6="*")),1,IF(AND(CO5="*",OR(CM6="*",CN6="*",CO6="*")),1,"")))</f>
        <v/>
      </c>
      <c r="CV5" s="44" t="str">
        <f>IF(AND(CL5="*",CL6="*"),1,"")</f>
        <v/>
      </c>
      <c r="CX5" s="44"/>
      <c r="CY5" s="44"/>
      <c r="CZ5" s="44"/>
      <c r="DA5" s="44"/>
      <c r="DB5" s="44"/>
      <c r="DC5" s="44" t="str">
        <f>IF(AND(CX5="*",OR(CY6="*",CZ6="*",DA6="*")), 1,"")</f>
        <v/>
      </c>
      <c r="DD5" s="44" t="str">
        <f>IF(AND(CX5="*",DB6="*"),1,"")</f>
        <v/>
      </c>
      <c r="DE5" s="44" t="str">
        <f>IF(AND(DB6="*", OR(CY5="*", CZ5="*",DA5="*")),1,"")</f>
        <v/>
      </c>
      <c r="DF5" s="44" t="str">
        <f>IF(AND(CX6="*",OR(CY5="*",CZ5="*",DA5="*",DB5="*")),1,IF(AND(DB5="*",OR(CX6="*",CY6="*",CZ6="*",DA6="*")),1,""))</f>
        <v/>
      </c>
      <c r="DG5" s="44" t="str">
        <f>IF(AND(CY5="*",OR(CY6="*",CZ6="*",DA6="*")),1,IF(AND(CZ5="*",OR(CY6="*",CZ6="*",DA6="*")),1,IF(AND(DA5="*",OR(CY6="*",CZ6="*",DA6="*")),1,"")))</f>
        <v/>
      </c>
      <c r="DH5" s="44" t="str">
        <f>IF(AND(CX5="*",CX6="*"),1,"")</f>
        <v/>
      </c>
      <c r="DJ5" s="44"/>
      <c r="DK5" s="44"/>
      <c r="DL5" s="44"/>
      <c r="DM5" s="44"/>
      <c r="DN5" s="44"/>
      <c r="DO5" s="44" t="str">
        <f>IF(AND(DJ5="*",OR(DK6="*",DL6="*",DM6="*")), 1,"")</f>
        <v/>
      </c>
      <c r="DP5" s="44" t="str">
        <f>IF(AND(DJ5="*",DN6="*"),1,"")</f>
        <v/>
      </c>
      <c r="DQ5" s="44" t="str">
        <f>IF(AND(DN6="*", OR(DK5="*", DL5="*",DM5="*")),1,"")</f>
        <v/>
      </c>
      <c r="DR5" s="44" t="str">
        <f>IF(AND(DJ6="*",OR(DK5="*",DL5="*",DM5="*",DN5="*")),1,IF(AND(DN5="*",OR(DJ6="*",DK6="*",DL6="*",DM6="*")),1,""))</f>
        <v/>
      </c>
      <c r="DS5" s="44" t="str">
        <f>IF(AND(DK5="*",OR(DK6="*",DL6="*",DM6="*")),1,IF(AND(DL5="*",OR(DK6="*",DL6="*",DM6="*")),1,IF(AND(DM5="*",OR(DK6="*",DL6="*",DM6="*")),1,"")))</f>
        <v/>
      </c>
      <c r="DT5" s="44" t="str">
        <f>IF(AND(DJ5="*",DJ6="*"),1,"")</f>
        <v/>
      </c>
      <c r="DV5" s="44"/>
      <c r="DW5" s="44"/>
      <c r="DX5" s="44"/>
      <c r="DY5" s="44"/>
      <c r="DZ5" s="44"/>
      <c r="EA5" s="44" t="str">
        <f>IF(AND(DV5="*",OR(DW6="*",DX6="*",DY6="*")), 1,"")</f>
        <v/>
      </c>
      <c r="EB5" s="44" t="str">
        <f>IF(AND(DV5="*",DZ6="*"),1,"")</f>
        <v/>
      </c>
      <c r="EC5" s="44" t="str">
        <f>IF(AND(DZ6="*", OR(DW5="*", DX5="*",DY5="*")),1,"")</f>
        <v/>
      </c>
      <c r="ED5" s="44" t="str">
        <f>IF(AND(DV6="*",OR(DW5="*",DX5="*",DY5="*",DZ5="*")),1,IF(AND(DZ5="*",OR(DV6="*",DW6="*",DX6="*",DY6="*")),1,""))</f>
        <v/>
      </c>
      <c r="EE5" s="44" t="str">
        <f>IF(AND(DW5="*",OR(DW6="*",DX6="*",DY6="*")),1,IF(AND(DX5="*",OR(DW6="*",DX6="*",DY6="*")),1,IF(AND(DY5="*",OR(DW6="*",DX6="*",DY6="*")),1,"")))</f>
        <v/>
      </c>
      <c r="EF5" s="44" t="str">
        <f>IF(AND(DV5="*",DV6="*"),1,"")</f>
        <v/>
      </c>
      <c r="EH5" s="44"/>
      <c r="EI5" s="44"/>
      <c r="EJ5" s="44"/>
      <c r="EK5" s="44"/>
      <c r="EL5" s="44"/>
      <c r="EM5" s="44" t="str">
        <f>IF(AND(EH5="*",OR(EI6="*",EJ6="*",EK6="*")), 1,"")</f>
        <v/>
      </c>
      <c r="EN5" s="44" t="str">
        <f>IF(AND(EH5="*",EL6="*"),1,"")</f>
        <v/>
      </c>
      <c r="EO5" s="44" t="str">
        <f>IF(AND(EL6="*", OR(EI5="*", EJ5="*",EK5="*")),1,"")</f>
        <v/>
      </c>
      <c r="EP5" s="44" t="str">
        <f>IF(AND(EH6="*",OR(EI5="*",EJ5="*",EK5="*",EL5="*")),1,IF(AND(EL5="*",OR(EH6="*",EI6="*",EJ6="*",EK6="*")),1,""))</f>
        <v/>
      </c>
      <c r="EQ5" s="44" t="str">
        <f>IF(AND(EI5="*",OR(EI6="*",EJ6="*",EK6="*")),1,IF(AND(EJ5="*",OR(EI6="*",EJ6="*",EK6="*")),1,IF(AND(EK5="*",OR(EI6="*",EJ6="*",EK6="*")),1,"")))</f>
        <v/>
      </c>
      <c r="ER5" s="44" t="str">
        <f>IF(AND(EH5="*",EH6="*"),1,"")</f>
        <v/>
      </c>
      <c r="ET5" s="44"/>
      <c r="EU5" s="44"/>
      <c r="EV5" s="44"/>
      <c r="EW5" s="44"/>
      <c r="EX5" s="44"/>
      <c r="EY5" s="44" t="str">
        <f>IF(AND(ET5="*",OR(EU6="*",EV6="*",EW6="*")), 1,"")</f>
        <v/>
      </c>
      <c r="EZ5" s="44" t="str">
        <f>IF(AND(ET5="*",EX6="*"),1,"")</f>
        <v/>
      </c>
      <c r="FA5" s="44" t="str">
        <f>IF(AND(EX6="*", OR(EU5="*", EV5="*",EW5="*")),1,"")</f>
        <v/>
      </c>
      <c r="FB5" s="44" t="str">
        <f>IF(AND(ET6="*",OR(EU5="*",EV5="*",EW5="*",EX5="*")),1,IF(AND(EX5="*",OR(ET6="*",EU6="*",EV6="*",EW6="*")),1,""))</f>
        <v/>
      </c>
      <c r="FC5" s="44" t="str">
        <f>IF(AND(EU5="*",OR(EU6="*",EV6="*",EW6="*")),1,IF(AND(EV5="*",OR(EU6="*",EV6="*",EW6="*")),1,IF(AND(EW5="*",OR(EU6="*",EV6="*",EW6="*")),1,"")))</f>
        <v/>
      </c>
      <c r="FD5" s="44" t="str">
        <f>IF(AND(ET5="*",ET6="*"),1,"")</f>
        <v/>
      </c>
      <c r="FF5" s="44"/>
      <c r="FG5" s="44"/>
      <c r="FH5" s="44"/>
      <c r="FI5" s="44"/>
      <c r="FJ5" s="44"/>
      <c r="FK5" s="44" t="str">
        <f>IF(AND(FF5="*",OR(FG6="*",FH6="*",FI6="*")), 1,"")</f>
        <v/>
      </c>
      <c r="FL5" s="44" t="str">
        <f>IF(AND(FF5="*",FJ6="*"),1,"")</f>
        <v/>
      </c>
      <c r="FM5" s="44" t="str">
        <f>IF(AND(FJ6="*", OR(FG5="*", FH5="*",FI5="*")),1,"")</f>
        <v/>
      </c>
      <c r="FN5" s="44" t="str">
        <f>IF(AND(FF6="*",OR(FG5="*",FH5="*",FI5="*",FJ5="*")),1,IF(AND(FJ5="*",OR(FF6="*",FG6="*",FH6="*",FI6="*")),1,""))</f>
        <v/>
      </c>
      <c r="FO5" s="44" t="str">
        <f>IF(AND(FG5="*",OR(FG6="*",FH6="*",FI6="*")),1,IF(AND(FH5="*",OR(FG6="*",FH6="*",FI6="*")),1,IF(AND(FI5="*",OR(FG6="*",FH6="*",FI6="*")),1,"")))</f>
        <v/>
      </c>
      <c r="FP5" s="44" t="str">
        <f>IF(AND(FF5="*",FF6="*"),1,"")</f>
        <v/>
      </c>
      <c r="FR5" s="44"/>
      <c r="FS5" s="44"/>
      <c r="FT5" s="44"/>
      <c r="FU5" s="44"/>
      <c r="FV5" s="44"/>
      <c r="FW5" s="44" t="str">
        <f>IF(AND(FR5="*",OR(FS6="*",FT6="*",FU6="*")), 1,"")</f>
        <v/>
      </c>
      <c r="FX5" s="44" t="str">
        <f>IF(AND(FR5="*",FV6="*"),1,"")</f>
        <v/>
      </c>
      <c r="FY5" s="44" t="str">
        <f>IF(AND(FV6="*", OR(FS5="*", FT5="*",FU5="*")),1,"")</f>
        <v/>
      </c>
      <c r="FZ5" s="44" t="str">
        <f>IF(AND(FR6="*",OR(FS5="*",FT5="*",FU5="*",FV5="*")),1,IF(AND(FV5="*",OR(FR6="*",FS6="*",FT6="*",FU6="*")),1,""))</f>
        <v/>
      </c>
      <c r="GA5" s="44" t="str">
        <f>IF(AND(FS5="*",OR(FS6="*",FT6="*",FU6="*")),1,IF(AND(FT5="*",OR(FS6="*",FT6="*",FU6="*")),1,IF(AND(FU5="*",OR(FS6="*",FT6="*",FU6="*")),1,"")))</f>
        <v/>
      </c>
      <c r="GB5" s="44" t="str">
        <f>IF(AND(FR5="*",FR6="*"),1,"")</f>
        <v/>
      </c>
      <c r="GD5" s="44"/>
      <c r="GE5" s="44"/>
      <c r="GF5" s="44"/>
      <c r="GG5" s="44"/>
      <c r="GH5" s="44"/>
      <c r="GI5" s="44"/>
      <c r="GJ5" s="44" t="str">
        <f>IF(AND(GD5="*",OR(GE6="*",GF6="*",GG6="*")), 1,"")</f>
        <v/>
      </c>
      <c r="GK5" s="44" t="str">
        <f>IF(AND(GD5="*",GH6="*"),1,"")</f>
        <v/>
      </c>
      <c r="GL5" s="44" t="str">
        <f>IF(AND(GH6="*", OR(GE5="*", GF5="*",GG5="*")),1,"")</f>
        <v/>
      </c>
      <c r="GM5" s="44" t="str">
        <f>IF(AND(GD6="*",OR(GE5="*",GF5="*",GG5="*",GH5="*")),1,IF(AND(GH5="*",OR(GD6="*",GE6="*",GF6="*",GG6="*")),1,""))</f>
        <v/>
      </c>
      <c r="GN5" s="44" t="str">
        <f>IF(AND(GE5="*",OR(GE6="*",GF6="*",GG6="*")),1,IF(AND(GF5="*",OR(GE6="*",GF6="*",GG6="*")),1,IF(AND(GG5="*",OR(GE6="*",GF6="*",GG6="*")),1,"")))</f>
        <v/>
      </c>
      <c r="GO5" s="44" t="str">
        <f>IF(AND(GD5="*",GD6="*"),1,"")</f>
        <v/>
      </c>
      <c r="GQ5" s="44"/>
      <c r="GR5" s="44"/>
      <c r="GS5" s="44"/>
      <c r="GT5" s="44"/>
      <c r="GU5" s="44"/>
      <c r="GV5" s="44" t="str">
        <f>IF(AND(GQ5="*",OR(GR6="*",GS6="*",GT6="*")), 1,"")</f>
        <v/>
      </c>
      <c r="GW5" s="44" t="str">
        <f>IF(AND(GQ5="*",GU6="*"),1,"")</f>
        <v/>
      </c>
      <c r="GX5" s="44" t="str">
        <f>IF(AND(GU6="*", OR(GR5="*", GS5="*",GT5="*")),1,"")</f>
        <v/>
      </c>
      <c r="GY5" s="44" t="str">
        <f>IF(AND(GQ6="*",OR(GR5="*",GS5="*",GT5="*",GU5="*")),1,IF(AND(GU5="*",OR(GQ6="*",GR6="*",GS6="*",GT6="*")),1,""))</f>
        <v/>
      </c>
      <c r="GZ5" s="44" t="str">
        <f>IF(AND(GR5="*",OR(GR6="*",GS6="*",GT6="*")),1,IF(AND(GS5="*",OR(GR6="*",GS6="*",GT6="*")),1,IF(AND(GT5="*",OR(GR6="*",GS6="*",GT6="*")),1,"")))</f>
        <v/>
      </c>
      <c r="HA5" s="44" t="str">
        <f>IF(AND(GQ5="*",GQ6="*"),1,"")</f>
        <v/>
      </c>
      <c r="HC5" s="44"/>
      <c r="HD5" s="44"/>
      <c r="HE5" s="44"/>
      <c r="HF5" s="44"/>
      <c r="HG5" s="44"/>
      <c r="HH5" s="44" t="str">
        <f>IF(AND(HC5="*",OR(HD6="*",HE6="*",HF6="*")), 1,"")</f>
        <v/>
      </c>
      <c r="HI5" s="44" t="str">
        <f>IF(AND(HC5="*",HG6="*"),1,"")</f>
        <v/>
      </c>
      <c r="HJ5" s="44" t="str">
        <f>IF(AND(HG6="*", OR(HD5="*", HE5="*",HF5="*")),1,"")</f>
        <v/>
      </c>
      <c r="HK5" s="44" t="str">
        <f>IF(AND(HC6="*",OR(HD5="*",HE5="*",HF5="*",HG5="*")),1,IF(AND(HG5="*",OR(HC6="*",HD6="*",HE6="*",HF6="*")),1,""))</f>
        <v/>
      </c>
      <c r="HL5" s="44" t="str">
        <f>IF(AND(HD5="*",OR(HD6="*",HE6="*",HF6="*")),1,IF(AND(HE5="*",OR(HD6="*",HE6="*",HF6="*")),1,IF(AND(HF5="*",OR(HD6="*",HE6="*",HF6="*")),1,"")))</f>
        <v/>
      </c>
      <c r="HM5" s="44" t="str">
        <f>IF(AND(HC5="*",HC6="*"),1,"")</f>
        <v/>
      </c>
      <c r="HO5" s="44"/>
      <c r="HP5" s="44"/>
      <c r="HQ5" s="44"/>
      <c r="HR5" s="44"/>
      <c r="HS5" s="44"/>
      <c r="HT5" s="44" t="str">
        <f>IF(AND(HO5="*",OR(HP6="*",HQ6="*",HR6="*")), 1,"")</f>
        <v/>
      </c>
      <c r="HU5" s="44" t="str">
        <f>IF(AND(HO5="*",HS6="*"),1,"")</f>
        <v/>
      </c>
      <c r="HV5" s="44" t="str">
        <f>IF(AND(HS6="*", OR(HP5="*", HQ5="*",HR5="*")),1,"")</f>
        <v/>
      </c>
      <c r="HW5" s="44" t="str">
        <f>IF(AND(HO6="*",OR(HP5="*",HQ5="*",HR5="*",HS5="*")),1,IF(AND(HS5="*",OR(HO6="*",HP6="*",HQ6="*",HR6="*")),1,""))</f>
        <v/>
      </c>
      <c r="HX5" s="44" t="str">
        <f>IF(AND(HP5="*",OR(HP6="*",HQ6="*",HR6="*")),1,IF(AND(HQ5="*",OR(HP6="*",HQ6="*",HR6="*")),1,IF(AND(HR5="*",OR(HP6="*",HQ6="*",HR6="*")),1,"")))</f>
        <v/>
      </c>
      <c r="HY5" s="44" t="str">
        <f>IF(AND(HO5="*",HO6="*"),1,"")</f>
        <v/>
      </c>
      <c r="IA5" s="44"/>
      <c r="IB5" s="44"/>
      <c r="IC5" s="44"/>
      <c r="ID5" s="44"/>
      <c r="IE5" s="44"/>
      <c r="IF5" s="44" t="str">
        <f>IF(AND(IA5="*",OR(IB6="*",IC6="*",ID6="*")), 1,"")</f>
        <v/>
      </c>
      <c r="IG5" s="44" t="str">
        <f>IF(AND(IA5="*",IE6="*"),1,"")</f>
        <v/>
      </c>
      <c r="IH5" s="44" t="str">
        <f>IF(AND(IE6="*", OR(IB5="*", IC5="*",ID5="*")),1,"")</f>
        <v/>
      </c>
      <c r="II5" s="44" t="str">
        <f>IF(AND(IA6="*",OR(IB5="*",IC5="*",ID5="*",IE5="*")),1,IF(AND(IE5="*",OR(IA6="*",IB6="*",IC6="*",ID6="*")),1,""))</f>
        <v/>
      </c>
      <c r="IJ5" s="44" t="str">
        <f>IF(AND(IB5="*",OR(IB6="*",IC6="*",ID6="*")),1,IF(AND(IC5="*",OR(IB6="*",IC6="*",ID6="*")),1,IF(AND(ID5="*",OR(IB6="*",IC6="*",ID6="*")),1,"")))</f>
        <v/>
      </c>
      <c r="IK5" s="44" t="str">
        <f>IF(AND(IA5="*",IA6="*"),1,"")</f>
        <v/>
      </c>
      <c r="IL5" s="44">
        <f>COUNT(J5,V5,AH5,AT5,BF5,BS5,CE5,CQ5,DC5,DO5,EA5,EM5,EY5,FK5,FW5,GJ5,GV5,HH5,HT5,IF5)</f>
        <v>0</v>
      </c>
      <c r="IM5" s="44">
        <f t="shared" ref="IM5:IQ5" si="1">COUNT(K5,W5,AI5,AU5,BG5,BT5,CF5,CR5,DD5,DP5,EB5,EN5,EZ5,FL5,FX5,GK5,GW5,HI5,HU5,IG5)</f>
        <v>0</v>
      </c>
      <c r="IN5" s="44">
        <f t="shared" si="1"/>
        <v>0</v>
      </c>
      <c r="IO5" s="44">
        <f t="shared" si="1"/>
        <v>0</v>
      </c>
      <c r="IP5" s="44">
        <f t="shared" si="1"/>
        <v>0</v>
      </c>
      <c r="IQ5" s="44">
        <f t="shared" si="1"/>
        <v>0</v>
      </c>
    </row>
    <row r="6" spans="2:251" ht="15" customHeight="1" x14ac:dyDescent="0.4">
      <c r="B6" s="273"/>
      <c r="C6" s="275"/>
      <c r="D6" s="42" t="s">
        <v>54</v>
      </c>
      <c r="E6" s="44"/>
      <c r="F6" s="44"/>
      <c r="G6" s="44"/>
      <c r="H6" s="44"/>
      <c r="I6" s="44"/>
      <c r="J6" s="43"/>
      <c r="K6" s="43"/>
      <c r="L6" s="43"/>
      <c r="M6" s="43"/>
      <c r="N6" s="43"/>
      <c r="O6" s="43"/>
      <c r="Q6" s="44"/>
      <c r="R6" s="44"/>
      <c r="S6" s="44"/>
      <c r="T6" s="44"/>
      <c r="U6" s="44"/>
      <c r="V6" s="43"/>
      <c r="W6" s="43"/>
      <c r="X6" s="43"/>
      <c r="Y6" s="43"/>
      <c r="Z6" s="43"/>
      <c r="AA6" s="43"/>
      <c r="AC6" s="44"/>
      <c r="AD6" s="44"/>
      <c r="AE6" s="44"/>
      <c r="AF6" s="44"/>
      <c r="AG6" s="44"/>
      <c r="AH6" s="43"/>
      <c r="AI6" s="43"/>
      <c r="AJ6" s="43"/>
      <c r="AK6" s="43"/>
      <c r="AL6" s="43"/>
      <c r="AM6" s="43"/>
      <c r="AO6" s="44"/>
      <c r="AP6" s="44"/>
      <c r="AQ6" s="44"/>
      <c r="AR6" s="44"/>
      <c r="AS6" s="44"/>
      <c r="AT6" s="43"/>
      <c r="AU6" s="43"/>
      <c r="AV6" s="43"/>
      <c r="AW6" s="43"/>
      <c r="AX6" s="43"/>
      <c r="AY6" s="43"/>
      <c r="BA6" s="44"/>
      <c r="BB6" s="44"/>
      <c r="BC6" s="44"/>
      <c r="BD6" s="44"/>
      <c r="BE6" s="44"/>
      <c r="BF6" s="43"/>
      <c r="BG6" s="43"/>
      <c r="BH6" s="43"/>
      <c r="BI6" s="43"/>
      <c r="BJ6" s="43"/>
      <c r="BK6" s="43"/>
      <c r="BM6" s="44"/>
      <c r="BN6" s="44"/>
      <c r="BO6" s="44"/>
      <c r="BP6" s="44"/>
      <c r="BQ6" s="44"/>
      <c r="BR6" s="44"/>
      <c r="BS6" s="43"/>
      <c r="BT6" s="43"/>
      <c r="BU6" s="43"/>
      <c r="BV6" s="43"/>
      <c r="BW6" s="43"/>
      <c r="BX6" s="43"/>
      <c r="BZ6" s="44"/>
      <c r="CA6" s="44"/>
      <c r="CB6" s="44"/>
      <c r="CC6" s="44"/>
      <c r="CD6" s="44"/>
      <c r="CE6" s="43"/>
      <c r="CF6" s="43"/>
      <c r="CG6" s="43"/>
      <c r="CH6" s="43"/>
      <c r="CI6" s="43"/>
      <c r="CJ6" s="43"/>
      <c r="CL6" s="44"/>
      <c r="CM6" s="44"/>
      <c r="CN6" s="44"/>
      <c r="CO6" s="44"/>
      <c r="CP6" s="44"/>
      <c r="CQ6" s="43"/>
      <c r="CR6" s="43"/>
      <c r="CS6" s="43"/>
      <c r="CT6" s="43"/>
      <c r="CU6" s="43"/>
      <c r="CV6" s="43"/>
      <c r="CX6" s="44"/>
      <c r="CY6" s="44"/>
      <c r="CZ6" s="44"/>
      <c r="DA6" s="44"/>
      <c r="DB6" s="44"/>
      <c r="DC6" s="43"/>
      <c r="DD6" s="43"/>
      <c r="DE6" s="43"/>
      <c r="DF6" s="43"/>
      <c r="DG6" s="43"/>
      <c r="DH6" s="43"/>
      <c r="DJ6" s="44"/>
      <c r="DK6" s="44"/>
      <c r="DL6" s="44"/>
      <c r="DM6" s="44"/>
      <c r="DN6" s="44"/>
      <c r="DO6" s="43"/>
      <c r="DP6" s="43"/>
      <c r="DQ6" s="43"/>
      <c r="DR6" s="43"/>
      <c r="DS6" s="43"/>
      <c r="DT6" s="43"/>
      <c r="DV6" s="44"/>
      <c r="DW6" s="44"/>
      <c r="DX6" s="44"/>
      <c r="DY6" s="44"/>
      <c r="DZ6" s="44"/>
      <c r="EA6" s="43"/>
      <c r="EB6" s="43"/>
      <c r="EC6" s="43"/>
      <c r="ED6" s="43"/>
      <c r="EE6" s="43"/>
      <c r="EF6" s="43"/>
      <c r="EH6" s="44"/>
      <c r="EI6" s="44"/>
      <c r="EJ6" s="44"/>
      <c r="EK6" s="44"/>
      <c r="EL6" s="44"/>
      <c r="EM6" s="43"/>
      <c r="EN6" s="43"/>
      <c r="EO6" s="43"/>
      <c r="EP6" s="43"/>
      <c r="EQ6" s="43"/>
      <c r="ER6" s="43"/>
      <c r="ET6" s="44"/>
      <c r="EU6" s="44"/>
      <c r="EV6" s="44"/>
      <c r="EW6" s="44"/>
      <c r="EX6" s="44"/>
      <c r="EY6" s="43"/>
      <c r="EZ6" s="43"/>
      <c r="FA6" s="43"/>
      <c r="FB6" s="43"/>
      <c r="FC6" s="43"/>
      <c r="FD6" s="43"/>
      <c r="FF6" s="44"/>
      <c r="FG6" s="44"/>
      <c r="FH6" s="44"/>
      <c r="FI6" s="44"/>
      <c r="FJ6" s="44"/>
      <c r="FK6" s="43"/>
      <c r="FL6" s="43"/>
      <c r="FM6" s="43"/>
      <c r="FN6" s="43"/>
      <c r="FO6" s="43"/>
      <c r="FP6" s="43"/>
      <c r="FR6" s="44"/>
      <c r="FS6" s="44"/>
      <c r="FT6" s="44"/>
      <c r="FU6" s="44"/>
      <c r="FV6" s="44"/>
      <c r="FW6" s="43"/>
      <c r="FX6" s="43"/>
      <c r="FY6" s="43"/>
      <c r="FZ6" s="43"/>
      <c r="GA6" s="43"/>
      <c r="GB6" s="43"/>
      <c r="GD6" s="44"/>
      <c r="GE6" s="44"/>
      <c r="GF6" s="44"/>
      <c r="GG6" s="44"/>
      <c r="GH6" s="44"/>
      <c r="GI6" s="44"/>
      <c r="GJ6" s="43"/>
      <c r="GK6" s="43"/>
      <c r="GL6" s="43"/>
      <c r="GM6" s="43"/>
      <c r="GN6" s="43"/>
      <c r="GO6" s="43"/>
      <c r="GQ6" s="44"/>
      <c r="GR6" s="44"/>
      <c r="GS6" s="44"/>
      <c r="GT6" s="44"/>
      <c r="GU6" s="44"/>
      <c r="GV6" s="43"/>
      <c r="GW6" s="43"/>
      <c r="GX6" s="43"/>
      <c r="GY6" s="43"/>
      <c r="GZ6" s="43"/>
      <c r="HA6" s="43"/>
      <c r="HC6" s="44"/>
      <c r="HD6" s="44"/>
      <c r="HE6" s="44"/>
      <c r="HF6" s="44"/>
      <c r="HG6" s="44"/>
      <c r="HH6" s="43"/>
      <c r="HI6" s="43"/>
      <c r="HJ6" s="43"/>
      <c r="HK6" s="43"/>
      <c r="HL6" s="43"/>
      <c r="HM6" s="43"/>
      <c r="HO6" s="44"/>
      <c r="HP6" s="44"/>
      <c r="HQ6" s="44"/>
      <c r="HR6" s="44"/>
      <c r="HS6" s="44"/>
      <c r="HT6" s="43"/>
      <c r="HU6" s="43"/>
      <c r="HV6" s="43"/>
      <c r="HW6" s="43"/>
      <c r="HX6" s="43"/>
      <c r="HY6" s="43"/>
      <c r="IA6" s="44"/>
      <c r="IB6" s="44"/>
      <c r="IC6" s="44"/>
      <c r="ID6" s="44"/>
      <c r="IE6" s="44"/>
      <c r="IF6" s="43"/>
      <c r="IG6" s="43"/>
      <c r="IH6" s="43"/>
      <c r="II6" s="43"/>
      <c r="IJ6" s="43"/>
      <c r="IK6" s="43"/>
    </row>
    <row r="7" spans="2:251" ht="15" customHeight="1" x14ac:dyDescent="0.4">
      <c r="B7" s="276">
        <v>3</v>
      </c>
      <c r="C7" s="278">
        <f>고객요구사항도출표!C7</f>
        <v>0</v>
      </c>
      <c r="D7" s="40" t="s">
        <v>55</v>
      </c>
      <c r="E7" s="41"/>
      <c r="F7" s="41"/>
      <c r="G7" s="41"/>
      <c r="H7" s="41"/>
      <c r="I7" s="41"/>
      <c r="J7" s="41" t="str">
        <f>IF(AND(E7="*",OR(F8="*",G8="*",H8="*")), 1,"")</f>
        <v/>
      </c>
      <c r="K7" s="41" t="str">
        <f>IF(AND(E7="*",I8="*"),1,"")</f>
        <v/>
      </c>
      <c r="L7" s="41" t="str">
        <f>IF(AND(I8="*", OR(F7="*", G7="*",H7="*")),1,"")</f>
        <v/>
      </c>
      <c r="M7" s="41" t="str">
        <f>IF(AND(E8="*",OR(F7="*",G7="*",H7="*",I7="*")),1,IF(AND(I7="*",OR(E8="*",F8="*",G8="*",H8="*")),1,""))</f>
        <v/>
      </c>
      <c r="N7" s="41" t="str">
        <f>IF(AND(F7="*",OR(F8="*",G8="*",H8="*")),1,IF(AND(G7="*",OR(F8="*",G8="*",H8="*")),1,IF(AND(H7="*",OR(F8="*",G8="*",H8="*")),1,"")))</f>
        <v/>
      </c>
      <c r="O7" s="41" t="str">
        <f>IF(AND(E7="*",E8="*"),1,"")</f>
        <v/>
      </c>
      <c r="Q7" s="41"/>
      <c r="R7" s="41"/>
      <c r="S7" s="41"/>
      <c r="T7" s="41"/>
      <c r="U7" s="41"/>
      <c r="V7" s="41" t="str">
        <f>IF(AND(Q7="*",OR(R8="*",S8="*",T8="*")), 1,"")</f>
        <v/>
      </c>
      <c r="W7" s="41" t="str">
        <f>IF(AND(Q7="*",U8="*"),1,"")</f>
        <v/>
      </c>
      <c r="X7" s="41" t="str">
        <f>IF(AND(U8="*", OR(R7="*", S7="*",T7="*")),1,"")</f>
        <v/>
      </c>
      <c r="Y7" s="41" t="str">
        <f>IF(AND(Q8="*",OR(R7="*",S7="*",T7="*",U7="*")),1,IF(AND(U7="*",OR(Q8="*",R8="*",S8="*",T8="*")),1,""))</f>
        <v/>
      </c>
      <c r="Z7" s="41" t="str">
        <f>IF(AND(R7="*",OR(R8="*",S8="*",T8="*")),1,IF(AND(S7="*",OR(R8="*",S8="*",T8="*")),1,IF(AND(T7="*",OR(R8="*",S8="*",T8="*")),1,"")))</f>
        <v/>
      </c>
      <c r="AA7" s="41" t="str">
        <f>IF(AND(Q7="*",Q8="*"),1,"")</f>
        <v/>
      </c>
      <c r="AC7" s="41"/>
      <c r="AD7" s="41"/>
      <c r="AE7" s="41"/>
      <c r="AF7" s="41"/>
      <c r="AG7" s="41"/>
      <c r="AH7" s="41" t="str">
        <f>IF(AND(AC7="*",OR(AD8="*",AE8="*",AF8="*")), 1,"")</f>
        <v/>
      </c>
      <c r="AI7" s="41" t="str">
        <f>IF(AND(AC7="*",AG8="*"),1,"")</f>
        <v/>
      </c>
      <c r="AJ7" s="41" t="str">
        <f>IF(AND(AG8="*", OR(AD7="*", AE7="*",AF7="*")),1,"")</f>
        <v/>
      </c>
      <c r="AK7" s="41" t="str">
        <f>IF(AND(AC8="*",OR(AD7="*",AE7="*",AF7="*",AG7="*")),1,IF(AND(AG7="*",OR(AC8="*",AD8="*",AE8="*",AF8="*")),1,""))</f>
        <v/>
      </c>
      <c r="AL7" s="41" t="str">
        <f>IF(AND(AD7="*",OR(AD8="*",AE8="*",AF8="*")),1,IF(AND(AE7="*",OR(AD8="*",AE8="*",AF8="*")),1,IF(AND(AF7="*",OR(AD8="*",AE8="*",AF8="*")),1,"")))</f>
        <v/>
      </c>
      <c r="AM7" s="41" t="str">
        <f>IF(AND(AC7="*",AC8="*"),1,"")</f>
        <v/>
      </c>
      <c r="AO7" s="41"/>
      <c r="AP7" s="41"/>
      <c r="AQ7" s="41"/>
      <c r="AR7" s="41"/>
      <c r="AS7" s="41"/>
      <c r="AT7" s="41" t="str">
        <f>IF(AND(AO7="*",OR(AP8="*",AQ8="*",AR8="*")), 1,"")</f>
        <v/>
      </c>
      <c r="AU7" s="41" t="str">
        <f>IF(AND(AO7="*",AS8="*"),1,"")</f>
        <v/>
      </c>
      <c r="AV7" s="41" t="str">
        <f>IF(AND(AS8="*", OR(AP7="*", AQ7="*",AR7="*")),1,"")</f>
        <v/>
      </c>
      <c r="AW7" s="41" t="str">
        <f>IF(AND(AO8="*",OR(AP7="*",AQ7="*",AR7="*",AS7="*")),1,IF(AND(AS7="*",OR(AO8="*",AP8="*",AQ8="*",AR8="*")),1,""))</f>
        <v/>
      </c>
      <c r="AX7" s="41" t="str">
        <f>IF(AND(AP7="*",OR(AP8="*",AQ8="*",AR8="*")),1,IF(AND(AQ7="*",OR(AP8="*",AQ8="*",AR8="*")),1,IF(AND(AR7="*",OR(AP8="*",AQ8="*",AR8="*")),1,"")))</f>
        <v/>
      </c>
      <c r="AY7" s="41" t="str">
        <f>IF(AND(AO7="*",AO8="*"),1,"")</f>
        <v/>
      </c>
      <c r="BA7" s="41"/>
      <c r="BB7" s="41"/>
      <c r="BC7" s="41"/>
      <c r="BD7" s="41"/>
      <c r="BE7" s="41"/>
      <c r="BF7" s="41" t="str">
        <f>IF(AND(BA7="*",OR(BB8="*",BC8="*",BD8="*")), 1,"")</f>
        <v/>
      </c>
      <c r="BG7" s="41" t="str">
        <f>IF(AND(BA7="*",BE8="*"),1,"")</f>
        <v/>
      </c>
      <c r="BH7" s="41" t="str">
        <f>IF(AND(BE8="*", OR(BB7="*", BC7="*",BD7="*")),1,"")</f>
        <v/>
      </c>
      <c r="BI7" s="41" t="str">
        <f>IF(AND(BA8="*",OR(BB7="*",BC7="*",BD7="*",BE7="*")),1,IF(AND(BE7="*",OR(BA8="*",BB8="*",BC8="*",BD8="*")),1,""))</f>
        <v/>
      </c>
      <c r="BJ7" s="41" t="str">
        <f>IF(AND(BB7="*",OR(BB8="*",BC8="*",BD8="*")),1,IF(AND(BC7="*",OR(BB8="*",BC8="*",BD8="*")),1,IF(AND(BD7="*",OR(BB8="*",BC8="*",BD8="*")),1,"")))</f>
        <v/>
      </c>
      <c r="BK7" s="41" t="str">
        <f>IF(AND(BA7="*",BA8="*"),1,"")</f>
        <v/>
      </c>
      <c r="BM7" s="41"/>
      <c r="BN7" s="41"/>
      <c r="BO7" s="41"/>
      <c r="BP7" s="41"/>
      <c r="BQ7" s="41"/>
      <c r="BR7" s="41"/>
      <c r="BS7" s="41" t="str">
        <f>IF(AND(BM7="*",OR(BN8="*",BO8="*",BP8="*")), 1,"")</f>
        <v/>
      </c>
      <c r="BT7" s="41" t="str">
        <f>IF(AND(BM7="*",BQ8="*"),1,"")</f>
        <v/>
      </c>
      <c r="BU7" s="41" t="str">
        <f>IF(AND(BQ8="*", OR(BN7="*", BO7="*",BP7="*")),1,"")</f>
        <v/>
      </c>
      <c r="BV7" s="41" t="str">
        <f>IF(AND(BM8="*",OR(BN7="*",BO7="*",BP7="*",BQ7="*")),1,IF(AND(BQ7="*",OR(BM8="*",BN8="*",BO8="*",BP8="*")),1,""))</f>
        <v/>
      </c>
      <c r="BW7" s="41" t="str">
        <f>IF(AND(BN7="*",OR(BN8="*",BO8="*",BP8="*")),1,IF(AND(BO7="*",OR(BN8="*",BO8="*",BP8="*")),1,IF(AND(BP7="*",OR(BN8="*",BO8="*",BP8="*")),1,"")))</f>
        <v/>
      </c>
      <c r="BX7" s="41" t="str">
        <f>IF(AND(BM7="*",BM8="*"),1,"")</f>
        <v/>
      </c>
      <c r="BZ7" s="41"/>
      <c r="CA7" s="41"/>
      <c r="CB7" s="41"/>
      <c r="CC7" s="41"/>
      <c r="CD7" s="41"/>
      <c r="CE7" s="41" t="str">
        <f>IF(AND(BZ7="*",OR(CA8="*",CB8="*",CC8="*")), 1,"")</f>
        <v/>
      </c>
      <c r="CF7" s="41" t="str">
        <f>IF(AND(BZ7="*",CD8="*"),1,"")</f>
        <v/>
      </c>
      <c r="CG7" s="41" t="str">
        <f>IF(AND(CD8="*", OR(CA7="*", CB7="*",CC7="*")),1,"")</f>
        <v/>
      </c>
      <c r="CH7" s="41" t="str">
        <f>IF(AND(BZ8="*",OR(CA7="*",CB7="*",CC7="*",CD7="*")),1,IF(AND(CD7="*",OR(BZ8="*",CA8="*",CB8="*",CC8="*")),1,""))</f>
        <v/>
      </c>
      <c r="CI7" s="41" t="str">
        <f>IF(AND(CA7="*",OR(CA8="*",CB8="*",CC8="*")),1,IF(AND(CB7="*",OR(CA8="*",CB8="*",CC8="*")),1,IF(AND(CC7="*",OR(CA8="*",CB8="*",CC8="*")),1,"")))</f>
        <v/>
      </c>
      <c r="CJ7" s="41" t="str">
        <f>IF(AND(BZ7="*",BZ8="*"),1,"")</f>
        <v/>
      </c>
      <c r="CL7" s="41"/>
      <c r="CM7" s="41"/>
      <c r="CN7" s="41"/>
      <c r="CO7" s="41"/>
      <c r="CP7" s="41"/>
      <c r="CQ7" s="41" t="str">
        <f>IF(AND(CL7="*",OR(CM8="*",CN8="*",CO8="*")), 1,"")</f>
        <v/>
      </c>
      <c r="CR7" s="41" t="str">
        <f>IF(AND(CL7="*",CP8="*"),1,"")</f>
        <v/>
      </c>
      <c r="CS7" s="41" t="str">
        <f>IF(AND(CP8="*", OR(CM7="*", CN7="*",CO7="*")),1,"")</f>
        <v/>
      </c>
      <c r="CT7" s="41" t="str">
        <f>IF(AND(CL8="*",OR(CM7="*",CN7="*",CO7="*",CP7="*")),1,IF(AND(CP7="*",OR(CL8="*",CM8="*",CN8="*",CO8="*")),1,""))</f>
        <v/>
      </c>
      <c r="CU7" s="41" t="str">
        <f>IF(AND(CM7="*",OR(CM8="*",CN8="*",CO8="*")),1,IF(AND(CN7="*",OR(CM8="*",CN8="*",CO8="*")),1,IF(AND(CO7="*",OR(CM8="*",CN8="*",CO8="*")),1,"")))</f>
        <v/>
      </c>
      <c r="CV7" s="41" t="str">
        <f>IF(AND(CL7="*",CL8="*"),1,"")</f>
        <v/>
      </c>
      <c r="CX7" s="41"/>
      <c r="CY7" s="41"/>
      <c r="CZ7" s="41"/>
      <c r="DA7" s="41"/>
      <c r="DB7" s="41"/>
      <c r="DC7" s="41" t="str">
        <f>IF(AND(CX7="*",OR(CY8="*",CZ8="*",DA8="*")), 1,"")</f>
        <v/>
      </c>
      <c r="DD7" s="41" t="str">
        <f>IF(AND(CX7="*",DB8="*"),1,"")</f>
        <v/>
      </c>
      <c r="DE7" s="41" t="str">
        <f>IF(AND(DB8="*", OR(CY7="*", CZ7="*",DA7="*")),1,"")</f>
        <v/>
      </c>
      <c r="DF7" s="41" t="str">
        <f>IF(AND(CX8="*",OR(CY7="*",CZ7="*",DA7="*",DB7="*")),1,IF(AND(DB7="*",OR(CX8="*",CY8="*",CZ8="*",DA8="*")),1,""))</f>
        <v/>
      </c>
      <c r="DG7" s="41" t="str">
        <f>IF(AND(CY7="*",OR(CY8="*",CZ8="*",DA8="*")),1,IF(AND(CZ7="*",OR(CY8="*",CZ8="*",DA8="*")),1,IF(AND(DA7="*",OR(CY8="*",CZ8="*",DA8="*")),1,"")))</f>
        <v/>
      </c>
      <c r="DH7" s="41" t="str">
        <f>IF(AND(CX7="*",CX8="*"),1,"")</f>
        <v/>
      </c>
      <c r="DJ7" s="41"/>
      <c r="DK7" s="41"/>
      <c r="DL7" s="41"/>
      <c r="DM7" s="41"/>
      <c r="DN7" s="41"/>
      <c r="DO7" s="41" t="str">
        <f>IF(AND(DJ7="*",OR(DK8="*",DL8="*",DM8="*")), 1,"")</f>
        <v/>
      </c>
      <c r="DP7" s="41" t="str">
        <f>IF(AND(DJ7="*",DN8="*"),1,"")</f>
        <v/>
      </c>
      <c r="DQ7" s="41" t="str">
        <f>IF(AND(DN8="*", OR(DK7="*", DL7="*",DM7="*")),1,"")</f>
        <v/>
      </c>
      <c r="DR7" s="41" t="str">
        <f>IF(AND(DJ8="*",OR(DK7="*",DL7="*",DM7="*",DN7="*")),1,IF(AND(DN7="*",OR(DJ8="*",DK8="*",DL8="*",DM8="*")),1,""))</f>
        <v/>
      </c>
      <c r="DS7" s="41" t="str">
        <f>IF(AND(DK7="*",OR(DK8="*",DL8="*",DM8="*")),1,IF(AND(DL7="*",OR(DK8="*",DL8="*",DM8="*")),1,IF(AND(DM7="*",OR(DK8="*",DL8="*",DM8="*")),1,"")))</f>
        <v/>
      </c>
      <c r="DT7" s="41" t="str">
        <f>IF(AND(DJ7="*",DJ8="*"),1,"")</f>
        <v/>
      </c>
      <c r="DV7" s="41"/>
      <c r="DW7" s="41"/>
      <c r="DX7" s="41"/>
      <c r="DY7" s="41"/>
      <c r="DZ7" s="41"/>
      <c r="EA7" s="41" t="str">
        <f>IF(AND(DV7="*",OR(DW8="*",DX8="*",DY8="*")), 1,"")</f>
        <v/>
      </c>
      <c r="EB7" s="41" t="str">
        <f>IF(AND(DV7="*",DZ8="*"),1,"")</f>
        <v/>
      </c>
      <c r="EC7" s="41" t="str">
        <f>IF(AND(DZ8="*", OR(DW7="*", DX7="*",DY7="*")),1,"")</f>
        <v/>
      </c>
      <c r="ED7" s="41" t="str">
        <f>IF(AND(DV8="*",OR(DW7="*",DX7="*",DY7="*",DZ7="*")),1,IF(AND(DZ7="*",OR(DV8="*",DW8="*",DX8="*",DY8="*")),1,""))</f>
        <v/>
      </c>
      <c r="EE7" s="41" t="str">
        <f>IF(AND(DW7="*",OR(DW8="*",DX8="*",DY8="*")),1,IF(AND(DX7="*",OR(DW8="*",DX8="*",DY8="*")),1,IF(AND(DY7="*",OR(DW8="*",DX8="*",DY8="*")),1,"")))</f>
        <v/>
      </c>
      <c r="EF7" s="41" t="str">
        <f>IF(AND(DV7="*",DV8="*"),1,"")</f>
        <v/>
      </c>
      <c r="EH7" s="41"/>
      <c r="EI7" s="41"/>
      <c r="EJ7" s="41"/>
      <c r="EK7" s="41"/>
      <c r="EL7" s="41"/>
      <c r="EM7" s="41" t="str">
        <f>IF(AND(EH7="*",OR(EI8="*",EJ8="*",EK8="*")), 1,"")</f>
        <v/>
      </c>
      <c r="EN7" s="41" t="str">
        <f>IF(AND(EH7="*",EL8="*"),1,"")</f>
        <v/>
      </c>
      <c r="EO7" s="41" t="str">
        <f>IF(AND(EL8="*", OR(EI7="*", EJ7="*",EK7="*")),1,"")</f>
        <v/>
      </c>
      <c r="EP7" s="41" t="str">
        <f>IF(AND(EH8="*",OR(EI7="*",EJ7="*",EK7="*",EL7="*")),1,IF(AND(EL7="*",OR(EH8="*",EI8="*",EJ8="*",EK8="*")),1,""))</f>
        <v/>
      </c>
      <c r="EQ7" s="41" t="str">
        <f>IF(AND(EI7="*",OR(EI8="*",EJ8="*",EK8="*")),1,IF(AND(EJ7="*",OR(EI8="*",EJ8="*",EK8="*")),1,IF(AND(EK7="*",OR(EI8="*",EJ8="*",EK8="*")),1,"")))</f>
        <v/>
      </c>
      <c r="ER7" s="41" t="str">
        <f>IF(AND(EH7="*",EH8="*"),1,"")</f>
        <v/>
      </c>
      <c r="ET7" s="41"/>
      <c r="EU7" s="41"/>
      <c r="EV7" s="41"/>
      <c r="EW7" s="41"/>
      <c r="EX7" s="41"/>
      <c r="EY7" s="41" t="str">
        <f>IF(AND(ET7="*",OR(EU8="*",EV8="*",EW8="*")), 1,"")</f>
        <v/>
      </c>
      <c r="EZ7" s="41" t="str">
        <f>IF(AND(ET7="*",EX8="*"),1,"")</f>
        <v/>
      </c>
      <c r="FA7" s="41" t="str">
        <f>IF(AND(EX8="*", OR(EU7="*", EV7="*",EW7="*")),1,"")</f>
        <v/>
      </c>
      <c r="FB7" s="41" t="str">
        <f>IF(AND(ET8="*",OR(EU7="*",EV7="*",EW7="*",EX7="*")),1,IF(AND(EX7="*",OR(ET8="*",EU8="*",EV8="*",EW8="*")),1,""))</f>
        <v/>
      </c>
      <c r="FC7" s="41" t="str">
        <f>IF(AND(EU7="*",OR(EU8="*",EV8="*",EW8="*")),1,IF(AND(EV7="*",OR(EU8="*",EV8="*",EW8="*")),1,IF(AND(EW7="*",OR(EU8="*",EV8="*",EW8="*")),1,"")))</f>
        <v/>
      </c>
      <c r="FD7" s="41" t="str">
        <f>IF(AND(ET7="*",ET8="*"),1,"")</f>
        <v/>
      </c>
      <c r="FF7" s="41"/>
      <c r="FG7" s="41"/>
      <c r="FH7" s="41"/>
      <c r="FI7" s="41"/>
      <c r="FJ7" s="41"/>
      <c r="FK7" s="41" t="str">
        <f>IF(AND(FF7="*",OR(FG8="*",FH8="*",FI8="*")), 1,"")</f>
        <v/>
      </c>
      <c r="FL7" s="41" t="str">
        <f>IF(AND(FF7="*",FJ8="*"),1,"")</f>
        <v/>
      </c>
      <c r="FM7" s="41" t="str">
        <f>IF(AND(FJ8="*", OR(FG7="*", FH7="*",FI7="*")),1,"")</f>
        <v/>
      </c>
      <c r="FN7" s="41" t="str">
        <f>IF(AND(FF8="*",OR(FG7="*",FH7="*",FI7="*",FJ7="*")),1,IF(AND(FJ7="*",OR(FF8="*",FG8="*",FH8="*",FI8="*")),1,""))</f>
        <v/>
      </c>
      <c r="FO7" s="41" t="str">
        <f>IF(AND(FG7="*",OR(FG8="*",FH8="*",FI8="*")),1,IF(AND(FH7="*",OR(FG8="*",FH8="*",FI8="*")),1,IF(AND(FI7="*",OR(FG8="*",FH8="*",FI8="*")),1,"")))</f>
        <v/>
      </c>
      <c r="FP7" s="41" t="str">
        <f>IF(AND(FF7="*",FF8="*"),1,"")</f>
        <v/>
      </c>
      <c r="FR7" s="41"/>
      <c r="FS7" s="41"/>
      <c r="FT7" s="41"/>
      <c r="FU7" s="41"/>
      <c r="FV7" s="41"/>
      <c r="FW7" s="41" t="str">
        <f>IF(AND(FR7="*",OR(FS8="*",FT8="*",FU8="*")), 1,"")</f>
        <v/>
      </c>
      <c r="FX7" s="41" t="str">
        <f>IF(AND(FR7="*",FV8="*"),1,"")</f>
        <v/>
      </c>
      <c r="FY7" s="41" t="str">
        <f>IF(AND(FV8="*", OR(FS7="*", FT7="*",FU7="*")),1,"")</f>
        <v/>
      </c>
      <c r="FZ7" s="41" t="str">
        <f>IF(AND(FR8="*",OR(FS7="*",FT7="*",FU7="*",FV7="*")),1,IF(AND(FV7="*",OR(FR8="*",FS8="*",FT8="*",FU8="*")),1,""))</f>
        <v/>
      </c>
      <c r="GA7" s="41" t="str">
        <f>IF(AND(FS7="*",OR(FS8="*",FT8="*",FU8="*")),1,IF(AND(FT7="*",OR(FS8="*",FT8="*",FU8="*")),1,IF(AND(FU7="*",OR(FS8="*",FT8="*",FU8="*")),1,"")))</f>
        <v/>
      </c>
      <c r="GB7" s="41" t="str">
        <f>IF(AND(FR7="*",FR8="*"),1,"")</f>
        <v/>
      </c>
      <c r="GD7" s="41"/>
      <c r="GE7" s="41"/>
      <c r="GF7" s="41"/>
      <c r="GG7" s="41"/>
      <c r="GH7" s="41"/>
      <c r="GI7" s="41"/>
      <c r="GJ7" s="41" t="str">
        <f>IF(AND(GD7="*",OR(GE8="*",GF8="*",GG8="*")), 1,"")</f>
        <v/>
      </c>
      <c r="GK7" s="41" t="str">
        <f>IF(AND(GD7="*",GH8="*"),1,"")</f>
        <v/>
      </c>
      <c r="GL7" s="41" t="str">
        <f>IF(AND(GH8="*", OR(GE7="*", GF7="*",GG7="*")),1,"")</f>
        <v/>
      </c>
      <c r="GM7" s="41" t="str">
        <f>IF(AND(GD8="*",OR(GE7="*",GF7="*",GG7="*",GH7="*")),1,IF(AND(GH7="*",OR(GD8="*",GE8="*",GF8="*",GG8="*")),1,""))</f>
        <v/>
      </c>
      <c r="GN7" s="41" t="str">
        <f>IF(AND(GE7="*",OR(GE8="*",GF8="*",GG8="*")),1,IF(AND(GF7="*",OR(GE8="*",GF8="*",GG8="*")),1,IF(AND(GG7="*",OR(GE8="*",GF8="*",GG8="*")),1,"")))</f>
        <v/>
      </c>
      <c r="GO7" s="41" t="str">
        <f>IF(AND(GD7="*",GD8="*"),1,"")</f>
        <v/>
      </c>
      <c r="GQ7" s="41"/>
      <c r="GR7" s="41"/>
      <c r="GS7" s="41"/>
      <c r="GT7" s="41"/>
      <c r="GU7" s="41"/>
      <c r="GV7" s="41" t="str">
        <f>IF(AND(GQ7="*",OR(GR8="*",GS8="*",GT8="*")), 1,"")</f>
        <v/>
      </c>
      <c r="GW7" s="41" t="str">
        <f>IF(AND(GQ7="*",GU8="*"),1,"")</f>
        <v/>
      </c>
      <c r="GX7" s="41" t="str">
        <f>IF(AND(GU8="*", OR(GR7="*", GS7="*",GT7="*")),1,"")</f>
        <v/>
      </c>
      <c r="GY7" s="41" t="str">
        <f>IF(AND(GQ8="*",OR(GR7="*",GS7="*",GT7="*",GU7="*")),1,IF(AND(GU7="*",OR(GQ8="*",GR8="*",GS8="*",GT8="*")),1,""))</f>
        <v/>
      </c>
      <c r="GZ7" s="41" t="str">
        <f>IF(AND(GR7="*",OR(GR8="*",GS8="*",GT8="*")),1,IF(AND(GS7="*",OR(GR8="*",GS8="*",GT8="*")),1,IF(AND(GT7="*",OR(GR8="*",GS8="*",GT8="*")),1,"")))</f>
        <v/>
      </c>
      <c r="HA7" s="41" t="str">
        <f>IF(AND(GQ7="*",GQ8="*"),1,"")</f>
        <v/>
      </c>
      <c r="HC7" s="41"/>
      <c r="HD7" s="41"/>
      <c r="HE7" s="41"/>
      <c r="HF7" s="41"/>
      <c r="HG7" s="41"/>
      <c r="HH7" s="41" t="str">
        <f>IF(AND(HC7="*",OR(HD8="*",HE8="*",HF8="*")), 1,"")</f>
        <v/>
      </c>
      <c r="HI7" s="41" t="str">
        <f>IF(AND(HC7="*",HG8="*"),1,"")</f>
        <v/>
      </c>
      <c r="HJ7" s="41" t="str">
        <f>IF(AND(HG8="*", OR(HD7="*", HE7="*",HF7="*")),1,"")</f>
        <v/>
      </c>
      <c r="HK7" s="41" t="str">
        <f>IF(AND(HC8="*",OR(HD7="*",HE7="*",HF7="*",HG7="*")),1,IF(AND(HG7="*",OR(HC8="*",HD8="*",HE8="*",HF8="*")),1,""))</f>
        <v/>
      </c>
      <c r="HL7" s="41" t="str">
        <f>IF(AND(HD7="*",OR(HD8="*",HE8="*",HF8="*")),1,IF(AND(HE7="*",OR(HD8="*",HE8="*",HF8="*")),1,IF(AND(HF7="*",OR(HD8="*",HE8="*",HF8="*")),1,"")))</f>
        <v/>
      </c>
      <c r="HM7" s="41" t="str">
        <f>IF(AND(HC7="*",HC8="*"),1,"")</f>
        <v/>
      </c>
      <c r="HO7" s="41"/>
      <c r="HP7" s="41"/>
      <c r="HQ7" s="41"/>
      <c r="HR7" s="41"/>
      <c r="HS7" s="41"/>
      <c r="HT7" s="41" t="str">
        <f>IF(AND(HO7="*",OR(HP8="*",HQ8="*",HR8="*")), 1,"")</f>
        <v/>
      </c>
      <c r="HU7" s="41" t="str">
        <f>IF(AND(HO7="*",HS8="*"),1,"")</f>
        <v/>
      </c>
      <c r="HV7" s="41" t="str">
        <f>IF(AND(HS8="*", OR(HP7="*", HQ7="*",HR7="*")),1,"")</f>
        <v/>
      </c>
      <c r="HW7" s="41" t="str">
        <f>IF(AND(HO8="*",OR(HP7="*",HQ7="*",HR7="*",HS7="*")),1,IF(AND(HS7="*",OR(HO8="*",HP8="*",HQ8="*",HR8="*")),1,""))</f>
        <v/>
      </c>
      <c r="HX7" s="41" t="str">
        <f>IF(AND(HP7="*",OR(HP8="*",HQ8="*",HR8="*")),1,IF(AND(HQ7="*",OR(HP8="*",HQ8="*",HR8="*")),1,IF(AND(HR7="*",OR(HP8="*",HQ8="*",HR8="*")),1,"")))</f>
        <v/>
      </c>
      <c r="HY7" s="41" t="str">
        <f>IF(AND(HO7="*",HO8="*"),1,"")</f>
        <v/>
      </c>
      <c r="IA7" s="41"/>
      <c r="IB7" s="41"/>
      <c r="IC7" s="41"/>
      <c r="ID7" s="41"/>
      <c r="IE7" s="41"/>
      <c r="IF7" s="41" t="str">
        <f>IF(AND(IA7="*",OR(IB8="*",IC8="*",ID8="*")), 1,"")</f>
        <v/>
      </c>
      <c r="IG7" s="41" t="str">
        <f>IF(AND(IA7="*",IE8="*"),1,"")</f>
        <v/>
      </c>
      <c r="IH7" s="41" t="str">
        <f>IF(AND(IE8="*", OR(IB7="*", IC7="*",ID7="*")),1,"")</f>
        <v/>
      </c>
      <c r="II7" s="41" t="str">
        <f>IF(AND(IA8="*",OR(IB7="*",IC7="*",ID7="*",IE7="*")),1,IF(AND(IE7="*",OR(IA8="*",IB8="*",IC8="*",ID8="*")),1,""))</f>
        <v/>
      </c>
      <c r="IJ7" s="41" t="str">
        <f>IF(AND(IB7="*",OR(IB8="*",IC8="*",ID8="*")),1,IF(AND(IC7="*",OR(IB8="*",IC8="*",ID8="*")),1,IF(AND(ID7="*",OR(IB8="*",IC8="*",ID8="*")),1,"")))</f>
        <v/>
      </c>
      <c r="IK7" s="41" t="str">
        <f>IF(AND(IA7="*",IA8="*"),1,"")</f>
        <v/>
      </c>
      <c r="IL7" s="41">
        <f>COUNT(J7,V7,AH7,AT7,BF7,BS7,CE7,CQ7,DC7,DO7,EA7,EM7,EY7,FK7,FW7,GJ7,GV7,HH7,HT7,IF7)</f>
        <v>0</v>
      </c>
      <c r="IM7" s="41">
        <f t="shared" ref="IM7:IQ7" si="2">COUNT(K7,W7,AI7,AU7,BG7,BT7,CF7,CR7,DD7,DP7,EB7,EN7,EZ7,FL7,FX7,GK7,GW7,HI7,HU7,IG7)</f>
        <v>0</v>
      </c>
      <c r="IN7" s="41">
        <f t="shared" si="2"/>
        <v>0</v>
      </c>
      <c r="IO7" s="41">
        <f t="shared" si="2"/>
        <v>0</v>
      </c>
      <c r="IP7" s="41">
        <f t="shared" si="2"/>
        <v>0</v>
      </c>
      <c r="IQ7" s="41">
        <f t="shared" si="2"/>
        <v>0</v>
      </c>
    </row>
    <row r="8" spans="2:251" ht="15" customHeight="1" x14ac:dyDescent="0.4">
      <c r="B8" s="277"/>
      <c r="C8" s="279"/>
      <c r="D8" s="42" t="s">
        <v>52</v>
      </c>
      <c r="E8" s="41"/>
      <c r="F8" s="41"/>
      <c r="G8" s="41"/>
      <c r="H8" s="41"/>
      <c r="I8" s="41"/>
      <c r="J8" s="43"/>
      <c r="K8" s="43"/>
      <c r="L8" s="43"/>
      <c r="M8" s="43"/>
      <c r="N8" s="43"/>
      <c r="O8" s="43"/>
      <c r="Q8" s="41"/>
      <c r="R8" s="41"/>
      <c r="S8" s="41"/>
      <c r="T8" s="41"/>
      <c r="U8" s="41"/>
      <c r="V8" s="43"/>
      <c r="W8" s="43"/>
      <c r="X8" s="43"/>
      <c r="Y8" s="43"/>
      <c r="Z8" s="43"/>
      <c r="AA8" s="43"/>
      <c r="AC8" s="41"/>
      <c r="AD8" s="41"/>
      <c r="AE8" s="41"/>
      <c r="AF8" s="41"/>
      <c r="AG8" s="41"/>
      <c r="AH8" s="43"/>
      <c r="AI8" s="43"/>
      <c r="AJ8" s="43"/>
      <c r="AK8" s="43"/>
      <c r="AL8" s="43"/>
      <c r="AM8" s="43"/>
      <c r="AO8" s="41"/>
      <c r="AP8" s="41"/>
      <c r="AQ8" s="41"/>
      <c r="AR8" s="41"/>
      <c r="AS8" s="41"/>
      <c r="AT8" s="43"/>
      <c r="AU8" s="43"/>
      <c r="AV8" s="43"/>
      <c r="AW8" s="43"/>
      <c r="AX8" s="43"/>
      <c r="AY8" s="43"/>
      <c r="BA8" s="41"/>
      <c r="BB8" s="41"/>
      <c r="BC8" s="41"/>
      <c r="BD8" s="41"/>
      <c r="BE8" s="41"/>
      <c r="BF8" s="43"/>
      <c r="BG8" s="43"/>
      <c r="BH8" s="43"/>
      <c r="BI8" s="43"/>
      <c r="BJ8" s="43"/>
      <c r="BK8" s="43"/>
      <c r="BM8" s="41"/>
      <c r="BN8" s="41"/>
      <c r="BO8" s="41"/>
      <c r="BP8" s="41"/>
      <c r="BQ8" s="41"/>
      <c r="BR8" s="41"/>
      <c r="BS8" s="43"/>
      <c r="BT8" s="43"/>
      <c r="BU8" s="43"/>
      <c r="BV8" s="43"/>
      <c r="BW8" s="43"/>
      <c r="BX8" s="43"/>
      <c r="BZ8" s="41"/>
      <c r="CA8" s="41"/>
      <c r="CB8" s="41"/>
      <c r="CC8" s="41"/>
      <c r="CD8" s="41"/>
      <c r="CE8" s="43"/>
      <c r="CF8" s="43"/>
      <c r="CG8" s="43"/>
      <c r="CH8" s="43"/>
      <c r="CI8" s="43"/>
      <c r="CJ8" s="43"/>
      <c r="CL8" s="41"/>
      <c r="CM8" s="41"/>
      <c r="CN8" s="41"/>
      <c r="CO8" s="41"/>
      <c r="CP8" s="41"/>
      <c r="CQ8" s="43"/>
      <c r="CR8" s="43"/>
      <c r="CS8" s="43"/>
      <c r="CT8" s="43"/>
      <c r="CU8" s="43"/>
      <c r="CV8" s="43"/>
      <c r="CX8" s="41"/>
      <c r="CY8" s="41"/>
      <c r="CZ8" s="41"/>
      <c r="DA8" s="41"/>
      <c r="DB8" s="41"/>
      <c r="DC8" s="43"/>
      <c r="DD8" s="43"/>
      <c r="DE8" s="43"/>
      <c r="DF8" s="43"/>
      <c r="DG8" s="43"/>
      <c r="DH8" s="43"/>
      <c r="DJ8" s="41"/>
      <c r="DK8" s="41"/>
      <c r="DL8" s="41"/>
      <c r="DM8" s="41"/>
      <c r="DN8" s="41"/>
      <c r="DO8" s="43"/>
      <c r="DP8" s="43"/>
      <c r="DQ8" s="43"/>
      <c r="DR8" s="43"/>
      <c r="DS8" s="43"/>
      <c r="DT8" s="43"/>
      <c r="DV8" s="41"/>
      <c r="DW8" s="41"/>
      <c r="DX8" s="41"/>
      <c r="DY8" s="41"/>
      <c r="DZ8" s="41"/>
      <c r="EA8" s="43"/>
      <c r="EB8" s="43"/>
      <c r="EC8" s="43"/>
      <c r="ED8" s="43"/>
      <c r="EE8" s="43"/>
      <c r="EF8" s="43"/>
      <c r="EH8" s="41"/>
      <c r="EI8" s="41"/>
      <c r="EJ8" s="41"/>
      <c r="EK8" s="41"/>
      <c r="EL8" s="41"/>
      <c r="EM8" s="43"/>
      <c r="EN8" s="43"/>
      <c r="EO8" s="43"/>
      <c r="EP8" s="43"/>
      <c r="EQ8" s="43"/>
      <c r="ER8" s="43"/>
      <c r="ET8" s="41"/>
      <c r="EU8" s="41"/>
      <c r="EV8" s="41"/>
      <c r="EW8" s="41"/>
      <c r="EX8" s="41"/>
      <c r="EY8" s="43"/>
      <c r="EZ8" s="43"/>
      <c r="FA8" s="43"/>
      <c r="FB8" s="43"/>
      <c r="FC8" s="43"/>
      <c r="FD8" s="43"/>
      <c r="FF8" s="41"/>
      <c r="FG8" s="41"/>
      <c r="FH8" s="41"/>
      <c r="FI8" s="41"/>
      <c r="FJ8" s="41"/>
      <c r="FK8" s="43"/>
      <c r="FL8" s="43"/>
      <c r="FM8" s="43"/>
      <c r="FN8" s="43"/>
      <c r="FO8" s="43"/>
      <c r="FP8" s="43"/>
      <c r="FR8" s="41"/>
      <c r="FS8" s="41"/>
      <c r="FT8" s="41"/>
      <c r="FU8" s="41"/>
      <c r="FV8" s="41"/>
      <c r="FW8" s="43"/>
      <c r="FX8" s="43"/>
      <c r="FY8" s="43"/>
      <c r="FZ8" s="43"/>
      <c r="GA8" s="43"/>
      <c r="GB8" s="43"/>
      <c r="GD8" s="41"/>
      <c r="GE8" s="41"/>
      <c r="GF8" s="41"/>
      <c r="GG8" s="41"/>
      <c r="GH8" s="41"/>
      <c r="GI8" s="41"/>
      <c r="GJ8" s="43"/>
      <c r="GK8" s="43"/>
      <c r="GL8" s="43"/>
      <c r="GM8" s="43"/>
      <c r="GN8" s="43"/>
      <c r="GO8" s="43"/>
      <c r="GQ8" s="41"/>
      <c r="GR8" s="41"/>
      <c r="GS8" s="41"/>
      <c r="GT8" s="41"/>
      <c r="GU8" s="41"/>
      <c r="GV8" s="43"/>
      <c r="GW8" s="43"/>
      <c r="GX8" s="43"/>
      <c r="GY8" s="43"/>
      <c r="GZ8" s="43"/>
      <c r="HA8" s="43"/>
      <c r="HC8" s="41"/>
      <c r="HD8" s="41"/>
      <c r="HE8" s="41"/>
      <c r="HF8" s="41"/>
      <c r="HG8" s="41"/>
      <c r="HH8" s="43"/>
      <c r="HI8" s="43"/>
      <c r="HJ8" s="43"/>
      <c r="HK8" s="43"/>
      <c r="HL8" s="43"/>
      <c r="HM8" s="43"/>
      <c r="HO8" s="41"/>
      <c r="HP8" s="41"/>
      <c r="HQ8" s="41"/>
      <c r="HR8" s="41"/>
      <c r="HS8" s="41"/>
      <c r="HT8" s="43"/>
      <c r="HU8" s="43"/>
      <c r="HV8" s="43"/>
      <c r="HW8" s="43"/>
      <c r="HX8" s="43"/>
      <c r="HY8" s="43"/>
      <c r="IA8" s="41"/>
      <c r="IB8" s="41"/>
      <c r="IC8" s="41"/>
      <c r="ID8" s="41"/>
      <c r="IE8" s="41"/>
      <c r="IF8" s="43"/>
      <c r="IG8" s="43"/>
      <c r="IH8" s="43"/>
      <c r="II8" s="43"/>
      <c r="IJ8" s="43"/>
      <c r="IK8" s="43"/>
    </row>
    <row r="9" spans="2:251" ht="15" customHeight="1" x14ac:dyDescent="0.4">
      <c r="B9" s="273">
        <v>4</v>
      </c>
      <c r="C9" s="274">
        <f>고객요구사항도출표!C8</f>
        <v>0</v>
      </c>
      <c r="D9" s="40" t="s">
        <v>56</v>
      </c>
      <c r="E9" s="44"/>
      <c r="F9" s="44"/>
      <c r="G9" s="44"/>
      <c r="H9" s="44"/>
      <c r="I9" s="44"/>
      <c r="J9" s="44" t="str">
        <f>IF(AND(E9="*",OR(F10="*",G10="*",H10="*")), 1,"")</f>
        <v/>
      </c>
      <c r="K9" s="44" t="str">
        <f>IF(AND(E9="*",I10="*"),1,"")</f>
        <v/>
      </c>
      <c r="L9" s="44" t="str">
        <f>IF(AND(I10="*", OR(F9="*", G9="*",H9="*")),1,"")</f>
        <v/>
      </c>
      <c r="M9" s="44" t="str">
        <f>IF(AND(E10="*",OR(F9="*",G9="*",H9="*",I9="*")),1,IF(AND(I9="*",OR(E10="*",F10="*",G10="*",H10="*")),1,""))</f>
        <v/>
      </c>
      <c r="N9" s="44" t="str">
        <f>IF(AND(F9="*",OR(F10="*",G10="*",H10="*")),1,IF(AND(G9="*",OR(F10="*",G10="*",H10="*")),1,IF(AND(H9="*",OR(F10="*",G10="*",H10="*")),1,"")))</f>
        <v/>
      </c>
      <c r="O9" s="44" t="str">
        <f>IF(AND(E9="*",E10="*"),1,"")</f>
        <v/>
      </c>
      <c r="Q9" s="44"/>
      <c r="R9" s="44"/>
      <c r="S9" s="44"/>
      <c r="T9" s="44"/>
      <c r="U9" s="44"/>
      <c r="V9" s="44" t="str">
        <f>IF(AND(Q9="*",OR(R10="*",S10="*",T10="*")), 1,"")</f>
        <v/>
      </c>
      <c r="W9" s="44" t="str">
        <f>IF(AND(Q9="*",U10="*"),1,"")</f>
        <v/>
      </c>
      <c r="X9" s="44" t="str">
        <f>IF(AND(U10="*", OR(R9="*", S9="*",T9="*")),1,"")</f>
        <v/>
      </c>
      <c r="Y9" s="44" t="str">
        <f>IF(AND(Q10="*",OR(R9="*",S9="*",T9="*",U9="*")),1,IF(AND(U9="*",OR(Q10="*",R10="*",S10="*",T10="*")),1,""))</f>
        <v/>
      </c>
      <c r="Z9" s="44" t="str">
        <f>IF(AND(R9="*",OR(R10="*",S10="*",T10="*")),1,IF(AND(S9="*",OR(R10="*",S10="*",T10="*")),1,IF(AND(T9="*",OR(R10="*",S10="*",T10="*")),1,"")))</f>
        <v/>
      </c>
      <c r="AA9" s="44" t="str">
        <f>IF(AND(Q9="*",Q10="*"),1,"")</f>
        <v/>
      </c>
      <c r="AC9" s="44"/>
      <c r="AD9" s="44"/>
      <c r="AE9" s="44"/>
      <c r="AF9" s="44"/>
      <c r="AG9" s="44"/>
      <c r="AH9" s="44" t="str">
        <f>IF(AND(AC9="*",OR(AD10="*",AE10="*",AF10="*")), 1,"")</f>
        <v/>
      </c>
      <c r="AI9" s="44" t="str">
        <f>IF(AND(AC9="*",AG10="*"),1,"")</f>
        <v/>
      </c>
      <c r="AJ9" s="44" t="str">
        <f>IF(AND(AG10="*", OR(AD9="*", AE9="*",AF9="*")),1,"")</f>
        <v/>
      </c>
      <c r="AK9" s="44" t="str">
        <f>IF(AND(AC10="*",OR(AD9="*",AE9="*",AF9="*",AG9="*")),1,IF(AND(AG9="*",OR(AC10="*",AD10="*",AE10="*",AF10="*")),1,""))</f>
        <v/>
      </c>
      <c r="AL9" s="44" t="str">
        <f>IF(AND(AD9="*",OR(AD10="*",AE10="*",AF10="*")),1,IF(AND(AE9="*",OR(AD10="*",AE10="*",AF10="*")),1,IF(AND(AF9="*",OR(AD10="*",AE10="*",AF10="*")),1,"")))</f>
        <v/>
      </c>
      <c r="AM9" s="44" t="str">
        <f>IF(AND(AC9="*",AC10="*"),1,"")</f>
        <v/>
      </c>
      <c r="AO9" s="44"/>
      <c r="AP9" s="44"/>
      <c r="AQ9" s="44"/>
      <c r="AR9" s="44"/>
      <c r="AS9" s="44"/>
      <c r="AT9" s="44" t="str">
        <f>IF(AND(AO9="*",OR(AP10="*",AQ10="*",AR10="*")), 1,"")</f>
        <v/>
      </c>
      <c r="AU9" s="44" t="str">
        <f>IF(AND(AO9="*",AS10="*"),1,"")</f>
        <v/>
      </c>
      <c r="AV9" s="44" t="str">
        <f>IF(AND(AS10="*", OR(AP9="*", AQ9="*",AR9="*")),1,"")</f>
        <v/>
      </c>
      <c r="AW9" s="44" t="str">
        <f>IF(AND(AO10="*",OR(AP9="*",AQ9="*",AR9="*",AS9="*")),1,IF(AND(AS9="*",OR(AO10="*",AP10="*",AQ10="*",AR10="*")),1,""))</f>
        <v/>
      </c>
      <c r="AX9" s="44" t="str">
        <f>IF(AND(AP9="*",OR(AP10="*",AQ10="*",AR10="*")),1,IF(AND(AQ9="*",OR(AP10="*",AQ10="*",AR10="*")),1,IF(AND(AR9="*",OR(AP10="*",AQ10="*",AR10="*")),1,"")))</f>
        <v/>
      </c>
      <c r="AY9" s="44" t="str">
        <f>IF(AND(AO9="*",AO10="*"),1,"")</f>
        <v/>
      </c>
      <c r="BA9" s="44"/>
      <c r="BB9" s="44"/>
      <c r="BC9" s="44"/>
      <c r="BD9" s="44"/>
      <c r="BE9" s="44"/>
      <c r="BF9" s="44" t="str">
        <f>IF(AND(BA9="*",OR(BB10="*",BC10="*",BD10="*")), 1,"")</f>
        <v/>
      </c>
      <c r="BG9" s="44" t="str">
        <f>IF(AND(BA9="*",BE10="*"),1,"")</f>
        <v/>
      </c>
      <c r="BH9" s="44" t="str">
        <f>IF(AND(BE10="*", OR(BB9="*", BC9="*",BD9="*")),1,"")</f>
        <v/>
      </c>
      <c r="BI9" s="44" t="str">
        <f>IF(AND(BA10="*",OR(BB9="*",BC9="*",BD9="*",BE9="*")),1,IF(AND(BE9="*",OR(BA10="*",BB10="*",BC10="*",BD10="*")),1,""))</f>
        <v/>
      </c>
      <c r="BJ9" s="44" t="str">
        <f>IF(AND(BB9="*",OR(BB10="*",BC10="*",BD10="*")),1,IF(AND(BC9="*",OR(BB10="*",BC10="*",BD10="*")),1,IF(AND(BD9="*",OR(BB10="*",BC10="*",BD10="*")),1,"")))</f>
        <v/>
      </c>
      <c r="BK9" s="44" t="str">
        <f>IF(AND(BA9="*",BA10="*"),1,"")</f>
        <v/>
      </c>
      <c r="BM9" s="44"/>
      <c r="BN9" s="44"/>
      <c r="BO9" s="44"/>
      <c r="BP9" s="44"/>
      <c r="BQ9" s="44"/>
      <c r="BR9" s="44"/>
      <c r="BS9" s="44" t="str">
        <f>IF(AND(BM9="*",OR(BN10="*",BO10="*",BP10="*")), 1,"")</f>
        <v/>
      </c>
      <c r="BT9" s="44" t="str">
        <f>IF(AND(BM9="*",BQ10="*"),1,"")</f>
        <v/>
      </c>
      <c r="BU9" s="44" t="str">
        <f>IF(AND(BQ10="*", OR(BN9="*", BO9="*",BP9="*")),1,"")</f>
        <v/>
      </c>
      <c r="BV9" s="44" t="str">
        <f>IF(AND(BM10="*",OR(BN9="*",BO9="*",BP9="*",BQ9="*")),1,IF(AND(BQ9="*",OR(BM10="*",BN10="*",BO10="*",BP10="*")),1,""))</f>
        <v/>
      </c>
      <c r="BW9" s="44" t="str">
        <f>IF(AND(BN9="*",OR(BN10="*",BO10="*",BP10="*")),1,IF(AND(BO9="*",OR(BN10="*",BO10="*",BP10="*")),1,IF(AND(BP9="*",OR(BN10="*",BO10="*",BP10="*")),1,"")))</f>
        <v/>
      </c>
      <c r="BX9" s="44" t="str">
        <f>IF(AND(BM9="*",BM10="*"),1,"")</f>
        <v/>
      </c>
      <c r="BZ9" s="44"/>
      <c r="CA9" s="44"/>
      <c r="CB9" s="44"/>
      <c r="CC9" s="44"/>
      <c r="CD9" s="44"/>
      <c r="CE9" s="44" t="str">
        <f>IF(AND(BZ9="*",OR(CA10="*",CB10="*",CC10="*")), 1,"")</f>
        <v/>
      </c>
      <c r="CF9" s="44" t="str">
        <f>IF(AND(BZ9="*",CD10="*"),1,"")</f>
        <v/>
      </c>
      <c r="CG9" s="44" t="str">
        <f>IF(AND(CD10="*", OR(CA9="*", CB9="*",CC9="*")),1,"")</f>
        <v/>
      </c>
      <c r="CH9" s="44" t="str">
        <f>IF(AND(BZ10="*",OR(CA9="*",CB9="*",CC9="*",CD9="*")),1,IF(AND(CD9="*",OR(BZ10="*",CA10="*",CB10="*",CC10="*")),1,""))</f>
        <v/>
      </c>
      <c r="CI9" s="44" t="str">
        <f>IF(AND(CA9="*",OR(CA10="*",CB10="*",CC10="*")),1,IF(AND(CB9="*",OR(CA10="*",CB10="*",CC10="*")),1,IF(AND(CC9="*",OR(CA10="*",CB10="*",CC10="*")),1,"")))</f>
        <v/>
      </c>
      <c r="CJ9" s="44" t="str">
        <f>IF(AND(BZ9="*",BZ10="*"),1,"")</f>
        <v/>
      </c>
      <c r="CL9" s="44"/>
      <c r="CM9" s="44"/>
      <c r="CN9" s="44"/>
      <c r="CO9" s="44"/>
      <c r="CP9" s="44"/>
      <c r="CQ9" s="44" t="str">
        <f>IF(AND(CL9="*",OR(CM10="*",CN10="*",CO10="*")), 1,"")</f>
        <v/>
      </c>
      <c r="CR9" s="44" t="str">
        <f>IF(AND(CL9="*",CP10="*"),1,"")</f>
        <v/>
      </c>
      <c r="CS9" s="44" t="str">
        <f>IF(AND(CP10="*", OR(CM9="*", CN9="*",CO9="*")),1,"")</f>
        <v/>
      </c>
      <c r="CT9" s="44" t="str">
        <f>IF(AND(CL10="*",OR(CM9="*",CN9="*",CO9="*",CP9="*")),1,IF(AND(CP9="*",OR(CL10="*",CM10="*",CN10="*",CO10="*")),1,""))</f>
        <v/>
      </c>
      <c r="CU9" s="44" t="str">
        <f>IF(AND(CM9="*",OR(CM10="*",CN10="*",CO10="*")),1,IF(AND(CN9="*",OR(CM10="*",CN10="*",CO10="*")),1,IF(AND(CO9="*",OR(CM10="*",CN10="*",CO10="*")),1,"")))</f>
        <v/>
      </c>
      <c r="CV9" s="44" t="str">
        <f>IF(AND(CL9="*",CL10="*"),1,"")</f>
        <v/>
      </c>
      <c r="CX9" s="44"/>
      <c r="CY9" s="44"/>
      <c r="CZ9" s="44"/>
      <c r="DA9" s="44"/>
      <c r="DB9" s="44"/>
      <c r="DC9" s="44" t="str">
        <f>IF(AND(CX9="*",OR(CY10="*",CZ10="*",DA10="*")), 1,"")</f>
        <v/>
      </c>
      <c r="DD9" s="44" t="str">
        <f>IF(AND(CX9="*",DB10="*"),1,"")</f>
        <v/>
      </c>
      <c r="DE9" s="44" t="str">
        <f>IF(AND(DB10="*", OR(CY9="*", CZ9="*",DA9="*")),1,"")</f>
        <v/>
      </c>
      <c r="DF9" s="44" t="str">
        <f>IF(AND(CX10="*",OR(CY9="*",CZ9="*",DA9="*",DB9="*")),1,IF(AND(DB9="*",OR(CX10="*",CY10="*",CZ10="*",DA10="*")),1,""))</f>
        <v/>
      </c>
      <c r="DG9" s="44" t="str">
        <f>IF(AND(CY9="*",OR(CY10="*",CZ10="*",DA10="*")),1,IF(AND(CZ9="*",OR(CY10="*",CZ10="*",DA10="*")),1,IF(AND(DA9="*",OR(CY10="*",CZ10="*",DA10="*")),1,"")))</f>
        <v/>
      </c>
      <c r="DH9" s="44" t="str">
        <f>IF(AND(CX9="*",CX10="*"),1,"")</f>
        <v/>
      </c>
      <c r="DJ9" s="44"/>
      <c r="DK9" s="44"/>
      <c r="DL9" s="44"/>
      <c r="DM9" s="44"/>
      <c r="DN9" s="44"/>
      <c r="DO9" s="44" t="str">
        <f>IF(AND(DJ9="*",OR(DK10="*",DL10="*",DM10="*")), 1,"")</f>
        <v/>
      </c>
      <c r="DP9" s="44" t="str">
        <f>IF(AND(DJ9="*",DN10="*"),1,"")</f>
        <v/>
      </c>
      <c r="DQ9" s="44" t="str">
        <f>IF(AND(DN10="*", OR(DK9="*", DL9="*",DM9="*")),1,"")</f>
        <v/>
      </c>
      <c r="DR9" s="44" t="str">
        <f>IF(AND(DJ10="*",OR(DK9="*",DL9="*",DM9="*",DN9="*")),1,IF(AND(DN9="*",OR(DJ10="*",DK10="*",DL10="*",DM10="*")),1,""))</f>
        <v/>
      </c>
      <c r="DS9" s="44" t="str">
        <f>IF(AND(DK9="*",OR(DK10="*",DL10="*",DM10="*")),1,IF(AND(DL9="*",OR(DK10="*",DL10="*",DM10="*")),1,IF(AND(DM9="*",OR(DK10="*",DL10="*",DM10="*")),1,"")))</f>
        <v/>
      </c>
      <c r="DT9" s="44" t="str">
        <f>IF(AND(DJ9="*",DJ10="*"),1,"")</f>
        <v/>
      </c>
      <c r="DV9" s="44"/>
      <c r="DW9" s="44"/>
      <c r="DX9" s="44"/>
      <c r="DY9" s="44"/>
      <c r="DZ9" s="44"/>
      <c r="EA9" s="44" t="str">
        <f>IF(AND(DV9="*",OR(DW10="*",DX10="*",DY10="*")), 1,"")</f>
        <v/>
      </c>
      <c r="EB9" s="44" t="str">
        <f>IF(AND(DV9="*",DZ10="*"),1,"")</f>
        <v/>
      </c>
      <c r="EC9" s="44" t="str">
        <f>IF(AND(DZ10="*", OR(DW9="*", DX9="*",DY9="*")),1,"")</f>
        <v/>
      </c>
      <c r="ED9" s="44" t="str">
        <f>IF(AND(DV10="*",OR(DW9="*",DX9="*",DY9="*",DZ9="*")),1,IF(AND(DZ9="*",OR(DV10="*",DW10="*",DX10="*",DY10="*")),1,""))</f>
        <v/>
      </c>
      <c r="EE9" s="44" t="str">
        <f>IF(AND(DW9="*",OR(DW10="*",DX10="*",DY10="*")),1,IF(AND(DX9="*",OR(DW10="*",DX10="*",DY10="*")),1,IF(AND(DY9="*",OR(DW10="*",DX10="*",DY10="*")),1,"")))</f>
        <v/>
      </c>
      <c r="EF9" s="44" t="str">
        <f>IF(AND(DV9="*",DV10="*"),1,"")</f>
        <v/>
      </c>
      <c r="EH9" s="44"/>
      <c r="EI9" s="44"/>
      <c r="EJ9" s="44"/>
      <c r="EK9" s="44"/>
      <c r="EL9" s="44"/>
      <c r="EM9" s="44" t="str">
        <f>IF(AND(EH9="*",OR(EI10="*",EJ10="*",EK10="*")), 1,"")</f>
        <v/>
      </c>
      <c r="EN9" s="44" t="str">
        <f>IF(AND(EH9="*",EL10="*"),1,"")</f>
        <v/>
      </c>
      <c r="EO9" s="44" t="str">
        <f>IF(AND(EL10="*", OR(EI9="*", EJ9="*",EK9="*")),1,"")</f>
        <v/>
      </c>
      <c r="EP9" s="44" t="str">
        <f>IF(AND(EH10="*",OR(EI9="*",EJ9="*",EK9="*",EL9="*")),1,IF(AND(EL9="*",OR(EH10="*",EI10="*",EJ10="*",EK10="*")),1,""))</f>
        <v/>
      </c>
      <c r="EQ9" s="44" t="str">
        <f>IF(AND(EI9="*",OR(EI10="*",EJ10="*",EK10="*")),1,IF(AND(EJ9="*",OR(EI10="*",EJ10="*",EK10="*")),1,IF(AND(EK9="*",OR(EI10="*",EJ10="*",EK10="*")),1,"")))</f>
        <v/>
      </c>
      <c r="ER9" s="44" t="str">
        <f>IF(AND(EH9="*",EH10="*"),1,"")</f>
        <v/>
      </c>
      <c r="ET9" s="44"/>
      <c r="EU9" s="44"/>
      <c r="EV9" s="44"/>
      <c r="EW9" s="44"/>
      <c r="EX9" s="44"/>
      <c r="EY9" s="44" t="str">
        <f>IF(AND(ET9="*",OR(EU10="*",EV10="*",EW10="*")), 1,"")</f>
        <v/>
      </c>
      <c r="EZ9" s="44" t="str">
        <f>IF(AND(ET9="*",EX10="*"),1,"")</f>
        <v/>
      </c>
      <c r="FA9" s="44" t="str">
        <f>IF(AND(EX10="*", OR(EU9="*", EV9="*",EW9="*")),1,"")</f>
        <v/>
      </c>
      <c r="FB9" s="44" t="str">
        <f>IF(AND(ET10="*",OR(EU9="*",EV9="*",EW9="*",EX9="*")),1,IF(AND(EX9="*",OR(ET10="*",EU10="*",EV10="*",EW10="*")),1,""))</f>
        <v/>
      </c>
      <c r="FC9" s="44" t="str">
        <f>IF(AND(EU9="*",OR(EU10="*",EV10="*",EW10="*")),1,IF(AND(EV9="*",OR(EU10="*",EV10="*",EW10="*")),1,IF(AND(EW9="*",OR(EU10="*",EV10="*",EW10="*")),1,"")))</f>
        <v/>
      </c>
      <c r="FD9" s="44" t="str">
        <f>IF(AND(ET9="*",ET10="*"),1,"")</f>
        <v/>
      </c>
      <c r="FF9" s="44"/>
      <c r="FG9" s="44"/>
      <c r="FH9" s="44"/>
      <c r="FI9" s="44"/>
      <c r="FJ9" s="44"/>
      <c r="FK9" s="44" t="str">
        <f>IF(AND(FF9="*",OR(FG10="*",FH10="*",FI10="*")), 1,"")</f>
        <v/>
      </c>
      <c r="FL9" s="44" t="str">
        <f>IF(AND(FF9="*",FJ10="*"),1,"")</f>
        <v/>
      </c>
      <c r="FM9" s="44" t="str">
        <f>IF(AND(FJ10="*", OR(FG9="*", FH9="*",FI9="*")),1,"")</f>
        <v/>
      </c>
      <c r="FN9" s="44" t="str">
        <f>IF(AND(FF10="*",OR(FG9="*",FH9="*",FI9="*",FJ9="*")),1,IF(AND(FJ9="*",OR(FF10="*",FG10="*",FH10="*",FI10="*")),1,""))</f>
        <v/>
      </c>
      <c r="FO9" s="44" t="str">
        <f>IF(AND(FG9="*",OR(FG10="*",FH10="*",FI10="*")),1,IF(AND(FH9="*",OR(FG10="*",FH10="*",FI10="*")),1,IF(AND(FI9="*",OR(FG10="*",FH10="*",FI10="*")),1,"")))</f>
        <v/>
      </c>
      <c r="FP9" s="44" t="str">
        <f>IF(AND(FF9="*",FF10="*"),1,"")</f>
        <v/>
      </c>
      <c r="FR9" s="44"/>
      <c r="FS9" s="44"/>
      <c r="FT9" s="44"/>
      <c r="FU9" s="44"/>
      <c r="FV9" s="44"/>
      <c r="FW9" s="44" t="str">
        <f>IF(AND(FR9="*",OR(FS10="*",FT10="*",FU10="*")), 1,"")</f>
        <v/>
      </c>
      <c r="FX9" s="44" t="str">
        <f>IF(AND(FR9="*",FV10="*"),1,"")</f>
        <v/>
      </c>
      <c r="FY9" s="44" t="str">
        <f>IF(AND(FV10="*", OR(FS9="*", FT9="*",FU9="*")),1,"")</f>
        <v/>
      </c>
      <c r="FZ9" s="44" t="str">
        <f>IF(AND(FR10="*",OR(FS9="*",FT9="*",FU9="*",FV9="*")),1,IF(AND(FV9="*",OR(FR10="*",FS10="*",FT10="*",FU10="*")),1,""))</f>
        <v/>
      </c>
      <c r="GA9" s="44" t="str">
        <f>IF(AND(FS9="*",OR(FS10="*",FT10="*",FU10="*")),1,IF(AND(FT9="*",OR(FS10="*",FT10="*",FU10="*")),1,IF(AND(FU9="*",OR(FS10="*",FT10="*",FU10="*")),1,"")))</f>
        <v/>
      </c>
      <c r="GB9" s="44" t="str">
        <f>IF(AND(FR9="*",FR10="*"),1,"")</f>
        <v/>
      </c>
      <c r="GD9" s="44"/>
      <c r="GE9" s="44"/>
      <c r="GF9" s="44"/>
      <c r="GG9" s="44"/>
      <c r="GH9" s="44"/>
      <c r="GI9" s="44"/>
      <c r="GJ9" s="44" t="str">
        <f>IF(AND(GD9="*",OR(GE10="*",GF10="*",GG10="*")), 1,"")</f>
        <v/>
      </c>
      <c r="GK9" s="44" t="str">
        <f>IF(AND(GD9="*",GH10="*"),1,"")</f>
        <v/>
      </c>
      <c r="GL9" s="44" t="str">
        <f>IF(AND(GH10="*", OR(GE9="*", GF9="*",GG9="*")),1,"")</f>
        <v/>
      </c>
      <c r="GM9" s="44" t="str">
        <f>IF(AND(GD10="*",OR(GE9="*",GF9="*",GG9="*",GH9="*")),1,IF(AND(GH9="*",OR(GD10="*",GE10="*",GF10="*",GG10="*")),1,""))</f>
        <v/>
      </c>
      <c r="GN9" s="44" t="str">
        <f>IF(AND(GE9="*",OR(GE10="*",GF10="*",GG10="*")),1,IF(AND(GF9="*",OR(GE10="*",GF10="*",GG10="*")),1,IF(AND(GG9="*",OR(GE10="*",GF10="*",GG10="*")),1,"")))</f>
        <v/>
      </c>
      <c r="GO9" s="44" t="str">
        <f>IF(AND(GD9="*",GD10="*"),1,"")</f>
        <v/>
      </c>
      <c r="GQ9" s="44"/>
      <c r="GR9" s="44"/>
      <c r="GS9" s="44"/>
      <c r="GT9" s="44"/>
      <c r="GU9" s="44"/>
      <c r="GV9" s="44" t="str">
        <f>IF(AND(GQ9="*",OR(GR10="*",GS10="*",GT10="*")), 1,"")</f>
        <v/>
      </c>
      <c r="GW9" s="44" t="str">
        <f>IF(AND(GQ9="*",GU10="*"),1,"")</f>
        <v/>
      </c>
      <c r="GX9" s="44" t="str">
        <f>IF(AND(GU10="*", OR(GR9="*", GS9="*",GT9="*")),1,"")</f>
        <v/>
      </c>
      <c r="GY9" s="44" t="str">
        <f>IF(AND(GQ10="*",OR(GR9="*",GS9="*",GT9="*",GU9="*")),1,IF(AND(GU9="*",OR(GQ10="*",GR10="*",GS10="*",GT10="*")),1,""))</f>
        <v/>
      </c>
      <c r="GZ9" s="44" t="str">
        <f>IF(AND(GR9="*",OR(GR10="*",GS10="*",GT10="*")),1,IF(AND(GS9="*",OR(GR10="*",GS10="*",GT10="*")),1,IF(AND(GT9="*",OR(GR10="*",GS10="*",GT10="*")),1,"")))</f>
        <v/>
      </c>
      <c r="HA9" s="44" t="str">
        <f>IF(AND(GQ9="*",GQ10="*"),1,"")</f>
        <v/>
      </c>
      <c r="HC9" s="44"/>
      <c r="HD9" s="44"/>
      <c r="HE9" s="44"/>
      <c r="HF9" s="44"/>
      <c r="HG9" s="44"/>
      <c r="HH9" s="44" t="str">
        <f>IF(AND(HC9="*",OR(HD10="*",HE10="*",HF10="*")), 1,"")</f>
        <v/>
      </c>
      <c r="HI9" s="44" t="str">
        <f>IF(AND(HC9="*",HG10="*"),1,"")</f>
        <v/>
      </c>
      <c r="HJ9" s="44" t="str">
        <f>IF(AND(HG10="*", OR(HD9="*", HE9="*",HF9="*")),1,"")</f>
        <v/>
      </c>
      <c r="HK9" s="44" t="str">
        <f>IF(AND(HC10="*",OR(HD9="*",HE9="*",HF9="*",HG9="*")),1,IF(AND(HG9="*",OR(HC10="*",HD10="*",HE10="*",HF10="*")),1,""))</f>
        <v/>
      </c>
      <c r="HL9" s="44" t="str">
        <f>IF(AND(HD9="*",OR(HD10="*",HE10="*",HF10="*")),1,IF(AND(HE9="*",OR(HD10="*",HE10="*",HF10="*")),1,IF(AND(HF9="*",OR(HD10="*",HE10="*",HF10="*")),1,"")))</f>
        <v/>
      </c>
      <c r="HM9" s="44" t="str">
        <f>IF(AND(HC9="*",HC10="*"),1,"")</f>
        <v/>
      </c>
      <c r="HO9" s="44"/>
      <c r="HP9" s="44"/>
      <c r="HQ9" s="44"/>
      <c r="HR9" s="44"/>
      <c r="HS9" s="44"/>
      <c r="HT9" s="44" t="str">
        <f>IF(AND(HO9="*",OR(HP10="*",HQ10="*",HR10="*")), 1,"")</f>
        <v/>
      </c>
      <c r="HU9" s="44" t="str">
        <f>IF(AND(HO9="*",HS10="*"),1,"")</f>
        <v/>
      </c>
      <c r="HV9" s="44" t="str">
        <f>IF(AND(HS10="*", OR(HP9="*", HQ9="*",HR9="*")),1,"")</f>
        <v/>
      </c>
      <c r="HW9" s="44" t="str">
        <f>IF(AND(HO10="*",OR(HP9="*",HQ9="*",HR9="*",HS9="*")),1,IF(AND(HS9="*",OR(HO10="*",HP10="*",HQ10="*",HR10="*")),1,""))</f>
        <v/>
      </c>
      <c r="HX9" s="44" t="str">
        <f>IF(AND(HP9="*",OR(HP10="*",HQ10="*",HR10="*")),1,IF(AND(HQ9="*",OR(HP10="*",HQ10="*",HR10="*")),1,IF(AND(HR9="*",OR(HP10="*",HQ10="*",HR10="*")),1,"")))</f>
        <v/>
      </c>
      <c r="HY9" s="44" t="str">
        <f>IF(AND(HO9="*",HO10="*"),1,"")</f>
        <v/>
      </c>
      <c r="IA9" s="44"/>
      <c r="IB9" s="44"/>
      <c r="IC9" s="44"/>
      <c r="ID9" s="44"/>
      <c r="IE9" s="44"/>
      <c r="IF9" s="44" t="str">
        <f>IF(AND(IA9="*",OR(IB10="*",IC10="*",ID10="*")), 1,"")</f>
        <v/>
      </c>
      <c r="IG9" s="44" t="str">
        <f>IF(AND(IA9="*",IE10="*"),1,"")</f>
        <v/>
      </c>
      <c r="IH9" s="44" t="str">
        <f>IF(AND(IE10="*", OR(IB9="*", IC9="*",ID9="*")),1,"")</f>
        <v/>
      </c>
      <c r="II9" s="44" t="str">
        <f>IF(AND(IA10="*",OR(IB9="*",IC9="*",ID9="*",IE9="*")),1,IF(AND(IE9="*",OR(IA10="*",IB10="*",IC10="*",ID10="*")),1,""))</f>
        <v/>
      </c>
      <c r="IJ9" s="44" t="str">
        <f>IF(AND(IB9="*",OR(IB10="*",IC10="*",ID10="*")),1,IF(AND(IC9="*",OR(IB10="*",IC10="*",ID10="*")),1,IF(AND(ID9="*",OR(IB10="*",IC10="*",ID10="*")),1,"")))</f>
        <v/>
      </c>
      <c r="IK9" s="44" t="str">
        <f>IF(AND(IA9="*",IA10="*"),1,"")</f>
        <v/>
      </c>
      <c r="IL9" s="44">
        <f>COUNT(J9,V9,AH9,AT9,BF9,BS9,CE9,CQ9,DC9,DO9,EA9,EM9,EY9,FK9,FW9,GJ9,GV9,HH9,HT9,IF9)</f>
        <v>0</v>
      </c>
      <c r="IM9" s="44">
        <f t="shared" ref="IM9:IQ9" si="3">COUNT(K9,W9,AI9,AU9,BG9,BT9,CF9,CR9,DD9,DP9,EB9,EN9,EZ9,FL9,FX9,GK9,GW9,HI9,HU9,IG9)</f>
        <v>0</v>
      </c>
      <c r="IN9" s="44">
        <f t="shared" si="3"/>
        <v>0</v>
      </c>
      <c r="IO9" s="44">
        <f t="shared" si="3"/>
        <v>0</v>
      </c>
      <c r="IP9" s="44">
        <f t="shared" si="3"/>
        <v>0</v>
      </c>
      <c r="IQ9" s="44">
        <f t="shared" si="3"/>
        <v>0</v>
      </c>
    </row>
    <row r="10" spans="2:251" ht="15" customHeight="1" x14ac:dyDescent="0.4">
      <c r="B10" s="273"/>
      <c r="C10" s="275"/>
      <c r="D10" s="42" t="s">
        <v>57</v>
      </c>
      <c r="E10" s="44"/>
      <c r="F10" s="44"/>
      <c r="G10" s="44"/>
      <c r="H10" s="44"/>
      <c r="I10" s="44"/>
      <c r="J10" s="43"/>
      <c r="K10" s="43"/>
      <c r="L10" s="43"/>
      <c r="M10" s="43"/>
      <c r="N10" s="43"/>
      <c r="O10" s="43"/>
      <c r="Q10" s="44"/>
      <c r="R10" s="44"/>
      <c r="S10" s="44"/>
      <c r="T10" s="44"/>
      <c r="U10" s="44"/>
      <c r="V10" s="43"/>
      <c r="W10" s="43"/>
      <c r="X10" s="43"/>
      <c r="Y10" s="43"/>
      <c r="Z10" s="43"/>
      <c r="AA10" s="43"/>
      <c r="AC10" s="44"/>
      <c r="AD10" s="44"/>
      <c r="AE10" s="44"/>
      <c r="AF10" s="44"/>
      <c r="AG10" s="44"/>
      <c r="AH10" s="43"/>
      <c r="AI10" s="43"/>
      <c r="AJ10" s="43"/>
      <c r="AK10" s="43"/>
      <c r="AL10" s="43"/>
      <c r="AM10" s="43"/>
      <c r="AO10" s="44"/>
      <c r="AP10" s="44"/>
      <c r="AQ10" s="44"/>
      <c r="AR10" s="44"/>
      <c r="AS10" s="44"/>
      <c r="AT10" s="43"/>
      <c r="AU10" s="43"/>
      <c r="AV10" s="43"/>
      <c r="AW10" s="43"/>
      <c r="AX10" s="43"/>
      <c r="AY10" s="43"/>
      <c r="BA10" s="44"/>
      <c r="BB10" s="44"/>
      <c r="BC10" s="44"/>
      <c r="BD10" s="44"/>
      <c r="BE10" s="44"/>
      <c r="BF10" s="43"/>
      <c r="BG10" s="43"/>
      <c r="BH10" s="43"/>
      <c r="BI10" s="43"/>
      <c r="BJ10" s="43"/>
      <c r="BK10" s="43"/>
      <c r="BM10" s="44"/>
      <c r="BN10" s="44"/>
      <c r="BO10" s="44"/>
      <c r="BP10" s="44"/>
      <c r="BQ10" s="44"/>
      <c r="BR10" s="44"/>
      <c r="BS10" s="43"/>
      <c r="BT10" s="43"/>
      <c r="BU10" s="43"/>
      <c r="BV10" s="43"/>
      <c r="BW10" s="43"/>
      <c r="BX10" s="43"/>
      <c r="BZ10" s="44"/>
      <c r="CA10" s="44"/>
      <c r="CB10" s="44"/>
      <c r="CC10" s="44"/>
      <c r="CD10" s="44"/>
      <c r="CE10" s="43"/>
      <c r="CF10" s="43"/>
      <c r="CG10" s="43"/>
      <c r="CH10" s="43"/>
      <c r="CI10" s="43"/>
      <c r="CJ10" s="43"/>
      <c r="CL10" s="44"/>
      <c r="CM10" s="44"/>
      <c r="CN10" s="44"/>
      <c r="CO10" s="44"/>
      <c r="CP10" s="44"/>
      <c r="CQ10" s="43"/>
      <c r="CR10" s="43"/>
      <c r="CS10" s="43"/>
      <c r="CT10" s="43"/>
      <c r="CU10" s="43"/>
      <c r="CV10" s="43"/>
      <c r="CX10" s="44"/>
      <c r="CY10" s="44"/>
      <c r="CZ10" s="44"/>
      <c r="DA10" s="44"/>
      <c r="DB10" s="44"/>
      <c r="DC10" s="43"/>
      <c r="DD10" s="43"/>
      <c r="DE10" s="43"/>
      <c r="DF10" s="43"/>
      <c r="DG10" s="43"/>
      <c r="DH10" s="43"/>
      <c r="DJ10" s="44"/>
      <c r="DK10" s="44"/>
      <c r="DL10" s="44"/>
      <c r="DM10" s="44"/>
      <c r="DN10" s="44"/>
      <c r="DO10" s="43"/>
      <c r="DP10" s="43"/>
      <c r="DQ10" s="43"/>
      <c r="DR10" s="43"/>
      <c r="DS10" s="43"/>
      <c r="DT10" s="43"/>
      <c r="DV10" s="44"/>
      <c r="DW10" s="44"/>
      <c r="DX10" s="44"/>
      <c r="DY10" s="44"/>
      <c r="DZ10" s="44"/>
      <c r="EA10" s="43"/>
      <c r="EB10" s="43"/>
      <c r="EC10" s="43"/>
      <c r="ED10" s="43"/>
      <c r="EE10" s="43"/>
      <c r="EF10" s="43"/>
      <c r="EH10" s="44"/>
      <c r="EI10" s="44"/>
      <c r="EJ10" s="44"/>
      <c r="EK10" s="44"/>
      <c r="EL10" s="44"/>
      <c r="EM10" s="43"/>
      <c r="EN10" s="43"/>
      <c r="EO10" s="43"/>
      <c r="EP10" s="43"/>
      <c r="EQ10" s="43"/>
      <c r="ER10" s="43"/>
      <c r="ET10" s="44"/>
      <c r="EU10" s="44"/>
      <c r="EV10" s="44"/>
      <c r="EW10" s="44"/>
      <c r="EX10" s="44"/>
      <c r="EY10" s="43"/>
      <c r="EZ10" s="43"/>
      <c r="FA10" s="43"/>
      <c r="FB10" s="43"/>
      <c r="FC10" s="43"/>
      <c r="FD10" s="43"/>
      <c r="FF10" s="44"/>
      <c r="FG10" s="44"/>
      <c r="FH10" s="44"/>
      <c r="FI10" s="44"/>
      <c r="FJ10" s="44"/>
      <c r="FK10" s="43"/>
      <c r="FL10" s="43"/>
      <c r="FM10" s="43"/>
      <c r="FN10" s="43"/>
      <c r="FO10" s="43"/>
      <c r="FP10" s="43"/>
      <c r="FR10" s="44"/>
      <c r="FS10" s="44"/>
      <c r="FT10" s="44"/>
      <c r="FU10" s="44"/>
      <c r="FV10" s="44"/>
      <c r="FW10" s="43"/>
      <c r="FX10" s="43"/>
      <c r="FY10" s="43"/>
      <c r="FZ10" s="43"/>
      <c r="GA10" s="43"/>
      <c r="GB10" s="43"/>
      <c r="GD10" s="44"/>
      <c r="GE10" s="44"/>
      <c r="GF10" s="44"/>
      <c r="GG10" s="44"/>
      <c r="GH10" s="44"/>
      <c r="GI10" s="44"/>
      <c r="GJ10" s="43"/>
      <c r="GK10" s="43"/>
      <c r="GL10" s="43"/>
      <c r="GM10" s="43"/>
      <c r="GN10" s="43"/>
      <c r="GO10" s="43"/>
      <c r="GQ10" s="44"/>
      <c r="GR10" s="44"/>
      <c r="GS10" s="44"/>
      <c r="GT10" s="44"/>
      <c r="GU10" s="44"/>
      <c r="GV10" s="43"/>
      <c r="GW10" s="43"/>
      <c r="GX10" s="43"/>
      <c r="GY10" s="43"/>
      <c r="GZ10" s="43"/>
      <c r="HA10" s="43"/>
      <c r="HC10" s="44"/>
      <c r="HD10" s="44"/>
      <c r="HE10" s="44"/>
      <c r="HF10" s="44"/>
      <c r="HG10" s="44"/>
      <c r="HH10" s="43"/>
      <c r="HI10" s="43"/>
      <c r="HJ10" s="43"/>
      <c r="HK10" s="43"/>
      <c r="HL10" s="43"/>
      <c r="HM10" s="43"/>
      <c r="HO10" s="44"/>
      <c r="HP10" s="44"/>
      <c r="HQ10" s="44"/>
      <c r="HR10" s="44"/>
      <c r="HS10" s="44"/>
      <c r="HT10" s="43"/>
      <c r="HU10" s="43"/>
      <c r="HV10" s="43"/>
      <c r="HW10" s="43"/>
      <c r="HX10" s="43"/>
      <c r="HY10" s="43"/>
      <c r="IA10" s="44"/>
      <c r="IB10" s="44"/>
      <c r="IC10" s="44"/>
      <c r="ID10" s="44"/>
      <c r="IE10" s="44"/>
      <c r="IF10" s="43"/>
      <c r="IG10" s="43"/>
      <c r="IH10" s="43"/>
      <c r="II10" s="43"/>
      <c r="IJ10" s="43"/>
      <c r="IK10" s="43"/>
    </row>
    <row r="11" spans="2:251" ht="15" customHeight="1" x14ac:dyDescent="0.4">
      <c r="B11" s="276">
        <v>5</v>
      </c>
      <c r="C11" s="278">
        <f>고객요구사항도출표!C9</f>
        <v>0</v>
      </c>
      <c r="D11" s="40" t="s">
        <v>53</v>
      </c>
      <c r="E11" s="41"/>
      <c r="F11" s="41"/>
      <c r="G11" s="41"/>
      <c r="H11" s="41"/>
      <c r="I11" s="41"/>
      <c r="J11" s="41" t="str">
        <f>IF(AND(E11="*",OR(F12="*",G12="*",H12="*")), 1,"")</f>
        <v/>
      </c>
      <c r="K11" s="41" t="str">
        <f>IF(AND(E11="*",I12="*"),1,"")</f>
        <v/>
      </c>
      <c r="L11" s="41" t="str">
        <f>IF(AND(I12="*", OR(F11="*", G11="*",H11="*")),1,"")</f>
        <v/>
      </c>
      <c r="M11" s="41" t="str">
        <f>IF(AND(E12="*",OR(F11="*",G11="*",H11="*",I11="*")),1,IF(AND(I11="*",OR(E12="*",F12="*",G12="*",H12="*")),1,""))</f>
        <v/>
      </c>
      <c r="N11" s="41" t="str">
        <f>IF(AND(F11="*",OR(F12="*",G12="*",H12="*")),1,IF(AND(G11="*",OR(F12="*",G12="*",H12="*")),1,IF(AND(H11="*",OR(F12="*",G12="*",H12="*")),1,"")))</f>
        <v/>
      </c>
      <c r="O11" s="41" t="str">
        <f>IF(AND(E11="*",E12="*"),1,"")</f>
        <v/>
      </c>
      <c r="Q11" s="41"/>
      <c r="R11" s="41"/>
      <c r="S11" s="41"/>
      <c r="T11" s="41"/>
      <c r="U11" s="41"/>
      <c r="V11" s="41" t="str">
        <f>IF(AND(Q11="*",OR(R12="*",S12="*",T12="*")), 1,"")</f>
        <v/>
      </c>
      <c r="W11" s="41" t="str">
        <f>IF(AND(Q11="*",U12="*"),1,"")</f>
        <v/>
      </c>
      <c r="X11" s="41" t="str">
        <f>IF(AND(U12="*", OR(R11="*", S11="*",T11="*")),1,"")</f>
        <v/>
      </c>
      <c r="Y11" s="41" t="str">
        <f>IF(AND(Q12="*",OR(R11="*",S11="*",T11="*",U11="*")),1,IF(AND(U11="*",OR(Q12="*",R12="*",S12="*",T12="*")),1,""))</f>
        <v/>
      </c>
      <c r="Z11" s="41" t="str">
        <f>IF(AND(R11="*",OR(R12="*",S12="*",T12="*")),1,IF(AND(S11="*",OR(R12="*",S12="*",T12="*")),1,IF(AND(T11="*",OR(R12="*",S12="*",T12="*")),1,"")))</f>
        <v/>
      </c>
      <c r="AA11" s="41" t="str">
        <f>IF(AND(Q11="*",Q12="*"),1,"")</f>
        <v/>
      </c>
      <c r="AC11" s="41"/>
      <c r="AD11" s="41"/>
      <c r="AE11" s="41"/>
      <c r="AF11" s="41"/>
      <c r="AG11" s="41"/>
      <c r="AH11" s="41" t="str">
        <f>IF(AND(AC11="*",OR(AD12="*",AE12="*",AF12="*")), 1,"")</f>
        <v/>
      </c>
      <c r="AI11" s="41" t="str">
        <f>IF(AND(AC11="*",AG12="*"),1,"")</f>
        <v/>
      </c>
      <c r="AJ11" s="41" t="str">
        <f>IF(AND(AG12="*", OR(AD11="*", AE11="*",AF11="*")),1,"")</f>
        <v/>
      </c>
      <c r="AK11" s="41" t="str">
        <f>IF(AND(AC12="*",OR(AD11="*",AE11="*",AF11="*",AG11="*")),1,IF(AND(AG11="*",OR(AC12="*",AD12="*",AE12="*",AF12="*")),1,""))</f>
        <v/>
      </c>
      <c r="AL11" s="41" t="str">
        <f>IF(AND(AD11="*",OR(AD12="*",AE12="*",AF12="*")),1,IF(AND(AE11="*",OR(AD12="*",AE12="*",AF12="*")),1,IF(AND(AF11="*",OR(AD12="*",AE12="*",AF12="*")),1,"")))</f>
        <v/>
      </c>
      <c r="AM11" s="41" t="str">
        <f>IF(AND(AC11="*",AC12="*"),1,"")</f>
        <v/>
      </c>
      <c r="AO11" s="41"/>
      <c r="AP11" s="41"/>
      <c r="AQ11" s="41"/>
      <c r="AR11" s="41"/>
      <c r="AS11" s="41"/>
      <c r="AT11" s="41" t="str">
        <f>IF(AND(AO11="*",OR(AP12="*",AQ12="*",AR12="*")), 1,"")</f>
        <v/>
      </c>
      <c r="AU11" s="41" t="str">
        <f>IF(AND(AO11="*",AS12="*"),1,"")</f>
        <v/>
      </c>
      <c r="AV11" s="41" t="str">
        <f>IF(AND(AS12="*", OR(AP11="*", AQ11="*",AR11="*")),1,"")</f>
        <v/>
      </c>
      <c r="AW11" s="41" t="str">
        <f>IF(AND(AO12="*",OR(AP11="*",AQ11="*",AR11="*",AS11="*")),1,IF(AND(AS11="*",OR(AO12="*",AP12="*",AQ12="*",AR12="*")),1,""))</f>
        <v/>
      </c>
      <c r="AX11" s="41" t="str">
        <f>IF(AND(AP11="*",OR(AP12="*",AQ12="*",AR12="*")),1,IF(AND(AQ11="*",OR(AP12="*",AQ12="*",AR12="*")),1,IF(AND(AR11="*",OR(AP12="*",AQ12="*",AR12="*")),1,"")))</f>
        <v/>
      </c>
      <c r="AY11" s="41" t="str">
        <f>IF(AND(AO11="*",AO12="*"),1,"")</f>
        <v/>
      </c>
      <c r="BA11" s="41"/>
      <c r="BB11" s="41"/>
      <c r="BC11" s="41"/>
      <c r="BD11" s="41"/>
      <c r="BE11" s="41"/>
      <c r="BF11" s="41" t="str">
        <f>IF(AND(BA11="*",OR(BB12="*",BC12="*",BD12="*")), 1,"")</f>
        <v/>
      </c>
      <c r="BG11" s="41" t="str">
        <f>IF(AND(BA11="*",BE12="*"),1,"")</f>
        <v/>
      </c>
      <c r="BH11" s="41" t="str">
        <f>IF(AND(BE12="*", OR(BB11="*", BC11="*",BD11="*")),1,"")</f>
        <v/>
      </c>
      <c r="BI11" s="41" t="str">
        <f>IF(AND(BA12="*",OR(BB11="*",BC11="*",BD11="*",BE11="*")),1,IF(AND(BE11="*",OR(BA12="*",BB12="*",BC12="*",BD12="*")),1,""))</f>
        <v/>
      </c>
      <c r="BJ11" s="41" t="str">
        <f>IF(AND(BB11="*",OR(BB12="*",BC12="*",BD12="*")),1,IF(AND(BC11="*",OR(BB12="*",BC12="*",BD12="*")),1,IF(AND(BD11="*",OR(BB12="*",BC12="*",BD12="*")),1,"")))</f>
        <v/>
      </c>
      <c r="BK11" s="41" t="str">
        <f>IF(AND(BA11="*",BA12="*"),1,"")</f>
        <v/>
      </c>
      <c r="BM11" s="41"/>
      <c r="BN11" s="41"/>
      <c r="BO11" s="41"/>
      <c r="BP11" s="41"/>
      <c r="BQ11" s="41"/>
      <c r="BR11" s="41"/>
      <c r="BS11" s="41" t="str">
        <f>IF(AND(BM11="*",OR(BN12="*",BO12="*",BP12="*")), 1,"")</f>
        <v/>
      </c>
      <c r="BT11" s="41" t="str">
        <f>IF(AND(BM11="*",BQ12="*"),1,"")</f>
        <v/>
      </c>
      <c r="BU11" s="41" t="str">
        <f>IF(AND(BQ12="*", OR(BN11="*", BO11="*",BP11="*")),1,"")</f>
        <v/>
      </c>
      <c r="BV11" s="41" t="str">
        <f>IF(AND(BM12="*",OR(BN11="*",BO11="*",BP11="*",BQ11="*")),1,IF(AND(BQ11="*",OR(BM12="*",BN12="*",BO12="*",BP12="*")),1,""))</f>
        <v/>
      </c>
      <c r="BW11" s="41" t="str">
        <f>IF(AND(BN11="*",OR(BN12="*",BO12="*",BP12="*")),1,IF(AND(BO11="*",OR(BN12="*",BO12="*",BP12="*")),1,IF(AND(BP11="*",OR(BN12="*",BO12="*",BP12="*")),1,"")))</f>
        <v/>
      </c>
      <c r="BX11" s="41" t="str">
        <f>IF(AND(BM11="*",BM12="*"),1,"")</f>
        <v/>
      </c>
      <c r="BZ11" s="41"/>
      <c r="CA11" s="41"/>
      <c r="CB11" s="41"/>
      <c r="CC11" s="41"/>
      <c r="CD11" s="41"/>
      <c r="CE11" s="41" t="str">
        <f>IF(AND(BZ11="*",OR(CA12="*",CB12="*",CC12="*")), 1,"")</f>
        <v/>
      </c>
      <c r="CF11" s="41" t="str">
        <f>IF(AND(BZ11="*",CD12="*"),1,"")</f>
        <v/>
      </c>
      <c r="CG11" s="41" t="str">
        <f>IF(AND(CD12="*", OR(CA11="*", CB11="*",CC11="*")),1,"")</f>
        <v/>
      </c>
      <c r="CH11" s="41" t="str">
        <f>IF(AND(BZ12="*",OR(CA11="*",CB11="*",CC11="*",CD11="*")),1,IF(AND(CD11="*",OR(BZ12="*",CA12="*",CB12="*",CC12="*")),1,""))</f>
        <v/>
      </c>
      <c r="CI11" s="41" t="str">
        <f>IF(AND(CA11="*",OR(CA12="*",CB12="*",CC12="*")),1,IF(AND(CB11="*",OR(CA12="*",CB12="*",CC12="*")),1,IF(AND(CC11="*",OR(CA12="*",CB12="*",CC12="*")),1,"")))</f>
        <v/>
      </c>
      <c r="CJ11" s="41" t="str">
        <f>IF(AND(BZ11="*",BZ12="*"),1,"")</f>
        <v/>
      </c>
      <c r="CL11" s="41"/>
      <c r="CM11" s="41"/>
      <c r="CN11" s="41"/>
      <c r="CO11" s="41"/>
      <c r="CP11" s="41"/>
      <c r="CQ11" s="41" t="str">
        <f>IF(AND(CL11="*",OR(CM12="*",CN12="*",CO12="*")), 1,"")</f>
        <v/>
      </c>
      <c r="CR11" s="41" t="str">
        <f>IF(AND(CL11="*",CP12="*"),1,"")</f>
        <v/>
      </c>
      <c r="CS11" s="41" t="str">
        <f>IF(AND(CP12="*", OR(CM11="*", CN11="*",CO11="*")),1,"")</f>
        <v/>
      </c>
      <c r="CT11" s="41" t="str">
        <f>IF(AND(CL12="*",OR(CM11="*",CN11="*",CO11="*",CP11="*")),1,IF(AND(CP11="*",OR(CL12="*",CM12="*",CN12="*",CO12="*")),1,""))</f>
        <v/>
      </c>
      <c r="CU11" s="41" t="str">
        <f>IF(AND(CM11="*",OR(CM12="*",CN12="*",CO12="*")),1,IF(AND(CN11="*",OR(CM12="*",CN12="*",CO12="*")),1,IF(AND(CO11="*",OR(CM12="*",CN12="*",CO12="*")),1,"")))</f>
        <v/>
      </c>
      <c r="CV11" s="41" t="str">
        <f>IF(AND(CL11="*",CL12="*"),1,"")</f>
        <v/>
      </c>
      <c r="CX11" s="41"/>
      <c r="CY11" s="41"/>
      <c r="CZ11" s="41"/>
      <c r="DA11" s="41"/>
      <c r="DB11" s="41"/>
      <c r="DC11" s="41" t="str">
        <f>IF(AND(CX11="*",OR(CY12="*",CZ12="*",DA12="*")), 1,"")</f>
        <v/>
      </c>
      <c r="DD11" s="41" t="str">
        <f>IF(AND(CX11="*",DB12="*"),1,"")</f>
        <v/>
      </c>
      <c r="DE11" s="41" t="str">
        <f>IF(AND(DB12="*", OR(CY11="*", CZ11="*",DA11="*")),1,"")</f>
        <v/>
      </c>
      <c r="DF11" s="41" t="str">
        <f>IF(AND(CX12="*",OR(CY11="*",CZ11="*",DA11="*",DB11="*")),1,IF(AND(DB11="*",OR(CX12="*",CY12="*",CZ12="*",DA12="*")),1,""))</f>
        <v/>
      </c>
      <c r="DG11" s="41" t="str">
        <f>IF(AND(CY11="*",OR(CY12="*",CZ12="*",DA12="*")),1,IF(AND(CZ11="*",OR(CY12="*",CZ12="*",DA12="*")),1,IF(AND(DA11="*",OR(CY12="*",CZ12="*",DA12="*")),1,"")))</f>
        <v/>
      </c>
      <c r="DH11" s="41" t="str">
        <f>IF(AND(CX11="*",CX12="*"),1,"")</f>
        <v/>
      </c>
      <c r="DJ11" s="41"/>
      <c r="DK11" s="41"/>
      <c r="DL11" s="41"/>
      <c r="DM11" s="41"/>
      <c r="DN11" s="41"/>
      <c r="DO11" s="41" t="str">
        <f>IF(AND(DJ11="*",OR(DK12="*",DL12="*",DM12="*")), 1,"")</f>
        <v/>
      </c>
      <c r="DP11" s="41" t="str">
        <f>IF(AND(DJ11="*",DN12="*"),1,"")</f>
        <v/>
      </c>
      <c r="DQ11" s="41" t="str">
        <f>IF(AND(DN12="*", OR(DK11="*", DL11="*",DM11="*")),1,"")</f>
        <v/>
      </c>
      <c r="DR11" s="41" t="str">
        <f>IF(AND(DJ12="*",OR(DK11="*",DL11="*",DM11="*",DN11="*")),1,IF(AND(DN11="*",OR(DJ12="*",DK12="*",DL12="*",DM12="*")),1,""))</f>
        <v/>
      </c>
      <c r="DS11" s="41" t="str">
        <f>IF(AND(DK11="*",OR(DK12="*",DL12="*",DM12="*")),1,IF(AND(DL11="*",OR(DK12="*",DL12="*",DM12="*")),1,IF(AND(DM11="*",OR(DK12="*",DL12="*",DM12="*")),1,"")))</f>
        <v/>
      </c>
      <c r="DT11" s="41" t="str">
        <f>IF(AND(DJ11="*",DJ12="*"),1,"")</f>
        <v/>
      </c>
      <c r="DV11" s="41"/>
      <c r="DW11" s="41"/>
      <c r="DX11" s="41"/>
      <c r="DY11" s="41"/>
      <c r="DZ11" s="41"/>
      <c r="EA11" s="41" t="str">
        <f>IF(AND(DV11="*",OR(DW12="*",DX12="*",DY12="*")), 1,"")</f>
        <v/>
      </c>
      <c r="EB11" s="41" t="str">
        <f>IF(AND(DV11="*",DZ12="*"),1,"")</f>
        <v/>
      </c>
      <c r="EC11" s="41" t="str">
        <f>IF(AND(DZ12="*", OR(DW11="*", DX11="*",DY11="*")),1,"")</f>
        <v/>
      </c>
      <c r="ED11" s="41" t="str">
        <f>IF(AND(DV12="*",OR(DW11="*",DX11="*",DY11="*",DZ11="*")),1,IF(AND(DZ11="*",OR(DV12="*",DW12="*",DX12="*",DY12="*")),1,""))</f>
        <v/>
      </c>
      <c r="EE11" s="41" t="str">
        <f>IF(AND(DW11="*",OR(DW12="*",DX12="*",DY12="*")),1,IF(AND(DX11="*",OR(DW12="*",DX12="*",DY12="*")),1,IF(AND(DY11="*",OR(DW12="*",DX12="*",DY12="*")),1,"")))</f>
        <v/>
      </c>
      <c r="EF11" s="41" t="str">
        <f>IF(AND(DV11="*",DV12="*"),1,"")</f>
        <v/>
      </c>
      <c r="EH11" s="41"/>
      <c r="EI11" s="41"/>
      <c r="EJ11" s="41"/>
      <c r="EK11" s="41"/>
      <c r="EL11" s="41"/>
      <c r="EM11" s="41" t="str">
        <f>IF(AND(EH11="*",OR(EI12="*",EJ12="*",EK12="*")), 1,"")</f>
        <v/>
      </c>
      <c r="EN11" s="41" t="str">
        <f>IF(AND(EH11="*",EL12="*"),1,"")</f>
        <v/>
      </c>
      <c r="EO11" s="41" t="str">
        <f>IF(AND(EL12="*", OR(EI11="*", EJ11="*",EK11="*")),1,"")</f>
        <v/>
      </c>
      <c r="EP11" s="41" t="str">
        <f>IF(AND(EH12="*",OR(EI11="*",EJ11="*",EK11="*",EL11="*")),1,IF(AND(EL11="*",OR(EH12="*",EI12="*",EJ12="*",EK12="*")),1,""))</f>
        <v/>
      </c>
      <c r="EQ11" s="41" t="str">
        <f>IF(AND(EI11="*",OR(EI12="*",EJ12="*",EK12="*")),1,IF(AND(EJ11="*",OR(EI12="*",EJ12="*",EK12="*")),1,IF(AND(EK11="*",OR(EI12="*",EJ12="*",EK12="*")),1,"")))</f>
        <v/>
      </c>
      <c r="ER11" s="41" t="str">
        <f>IF(AND(EH11="*",EH12="*"),1,"")</f>
        <v/>
      </c>
      <c r="ET11" s="41"/>
      <c r="EU11" s="41"/>
      <c r="EV11" s="41"/>
      <c r="EW11" s="41"/>
      <c r="EX11" s="41"/>
      <c r="EY11" s="41" t="str">
        <f>IF(AND(ET11="*",OR(EU12="*",EV12="*",EW12="*")), 1,"")</f>
        <v/>
      </c>
      <c r="EZ11" s="41" t="str">
        <f>IF(AND(ET11="*",EX12="*"),1,"")</f>
        <v/>
      </c>
      <c r="FA11" s="41" t="str">
        <f>IF(AND(EX12="*", OR(EU11="*", EV11="*",EW11="*")),1,"")</f>
        <v/>
      </c>
      <c r="FB11" s="41" t="str">
        <f>IF(AND(ET12="*",OR(EU11="*",EV11="*",EW11="*",EX11="*")),1,IF(AND(EX11="*",OR(ET12="*",EU12="*",EV12="*",EW12="*")),1,""))</f>
        <v/>
      </c>
      <c r="FC11" s="41" t="str">
        <f>IF(AND(EU11="*",OR(EU12="*",EV12="*",EW12="*")),1,IF(AND(EV11="*",OR(EU12="*",EV12="*",EW12="*")),1,IF(AND(EW11="*",OR(EU12="*",EV12="*",EW12="*")),1,"")))</f>
        <v/>
      </c>
      <c r="FD11" s="41" t="str">
        <f>IF(AND(ET11="*",ET12="*"),1,"")</f>
        <v/>
      </c>
      <c r="FF11" s="41"/>
      <c r="FG11" s="41"/>
      <c r="FH11" s="41"/>
      <c r="FI11" s="41"/>
      <c r="FJ11" s="41"/>
      <c r="FK11" s="41" t="str">
        <f>IF(AND(FF11="*",OR(FG12="*",FH12="*",FI12="*")), 1,"")</f>
        <v/>
      </c>
      <c r="FL11" s="41" t="str">
        <f>IF(AND(FF11="*",FJ12="*"),1,"")</f>
        <v/>
      </c>
      <c r="FM11" s="41" t="str">
        <f>IF(AND(FJ12="*", OR(FG11="*", FH11="*",FI11="*")),1,"")</f>
        <v/>
      </c>
      <c r="FN11" s="41" t="str">
        <f>IF(AND(FF12="*",OR(FG11="*",FH11="*",FI11="*",FJ11="*")),1,IF(AND(FJ11="*",OR(FF12="*",FG12="*",FH12="*",FI12="*")),1,""))</f>
        <v/>
      </c>
      <c r="FO11" s="41" t="str">
        <f>IF(AND(FG11="*",OR(FG12="*",FH12="*",FI12="*")),1,IF(AND(FH11="*",OR(FG12="*",FH12="*",FI12="*")),1,IF(AND(FI11="*",OR(FG12="*",FH12="*",FI12="*")),1,"")))</f>
        <v/>
      </c>
      <c r="FP11" s="41" t="str">
        <f>IF(AND(FF11="*",FF12="*"),1,"")</f>
        <v/>
      </c>
      <c r="FR11" s="41"/>
      <c r="FS11" s="41"/>
      <c r="FT11" s="41"/>
      <c r="FU11" s="41"/>
      <c r="FV11" s="41"/>
      <c r="FW11" s="41" t="str">
        <f>IF(AND(FR11="*",OR(FS12="*",FT12="*",FU12="*")), 1,"")</f>
        <v/>
      </c>
      <c r="FX11" s="41" t="str">
        <f>IF(AND(FR11="*",FV12="*"),1,"")</f>
        <v/>
      </c>
      <c r="FY11" s="41" t="str">
        <f>IF(AND(FV12="*", OR(FS11="*", FT11="*",FU11="*")),1,"")</f>
        <v/>
      </c>
      <c r="FZ11" s="41" t="str">
        <f>IF(AND(FR12="*",OR(FS11="*",FT11="*",FU11="*",FV11="*")),1,IF(AND(FV11="*",OR(FR12="*",FS12="*",FT12="*",FU12="*")),1,""))</f>
        <v/>
      </c>
      <c r="GA11" s="41" t="str">
        <f>IF(AND(FS11="*",OR(FS12="*",FT12="*",FU12="*")),1,IF(AND(FT11="*",OR(FS12="*",FT12="*",FU12="*")),1,IF(AND(FU11="*",OR(FS12="*",FT12="*",FU12="*")),1,"")))</f>
        <v/>
      </c>
      <c r="GB11" s="41" t="str">
        <f>IF(AND(FR11="*",FR12="*"),1,"")</f>
        <v/>
      </c>
      <c r="GD11" s="41"/>
      <c r="GE11" s="41"/>
      <c r="GF11" s="41"/>
      <c r="GG11" s="41"/>
      <c r="GH11" s="41"/>
      <c r="GI11" s="41"/>
      <c r="GJ11" s="41" t="str">
        <f>IF(AND(GD11="*",OR(GE12="*",GF12="*",GG12="*")), 1,"")</f>
        <v/>
      </c>
      <c r="GK11" s="41" t="str">
        <f>IF(AND(GD11="*",GH12="*"),1,"")</f>
        <v/>
      </c>
      <c r="GL11" s="41" t="str">
        <f>IF(AND(GH12="*", OR(GE11="*", GF11="*",GG11="*")),1,"")</f>
        <v/>
      </c>
      <c r="GM11" s="41" t="str">
        <f>IF(AND(GD12="*",OR(GE11="*",GF11="*",GG11="*",GH11="*")),1,IF(AND(GH11="*",OR(GD12="*",GE12="*",GF12="*",GG12="*")),1,""))</f>
        <v/>
      </c>
      <c r="GN11" s="41" t="str">
        <f>IF(AND(GE11="*",OR(GE12="*",GF12="*",GG12="*")),1,IF(AND(GF11="*",OR(GE12="*",GF12="*",GG12="*")),1,IF(AND(GG11="*",OR(GE12="*",GF12="*",GG12="*")),1,"")))</f>
        <v/>
      </c>
      <c r="GO11" s="41" t="str">
        <f>IF(AND(GD11="*",GD12="*"),1,"")</f>
        <v/>
      </c>
      <c r="GQ11" s="41"/>
      <c r="GR11" s="41"/>
      <c r="GS11" s="41"/>
      <c r="GT11" s="41"/>
      <c r="GU11" s="41"/>
      <c r="GV11" s="41" t="str">
        <f>IF(AND(GQ11="*",OR(GR12="*",GS12="*",GT12="*")), 1,"")</f>
        <v/>
      </c>
      <c r="GW11" s="41" t="str">
        <f>IF(AND(GQ11="*",GU12="*"),1,"")</f>
        <v/>
      </c>
      <c r="GX11" s="41" t="str">
        <f>IF(AND(GU12="*", OR(GR11="*", GS11="*",GT11="*")),1,"")</f>
        <v/>
      </c>
      <c r="GY11" s="41" t="str">
        <f>IF(AND(GQ12="*",OR(GR11="*",GS11="*",GT11="*",GU11="*")),1,IF(AND(GU11="*",OR(GQ12="*",GR12="*",GS12="*",GT12="*")),1,""))</f>
        <v/>
      </c>
      <c r="GZ11" s="41" t="str">
        <f>IF(AND(GR11="*",OR(GR12="*",GS12="*",GT12="*")),1,IF(AND(GS11="*",OR(GR12="*",GS12="*",GT12="*")),1,IF(AND(GT11="*",OR(GR12="*",GS12="*",GT12="*")),1,"")))</f>
        <v/>
      </c>
      <c r="HA11" s="41" t="str">
        <f>IF(AND(GQ11="*",GQ12="*"),1,"")</f>
        <v/>
      </c>
      <c r="HC11" s="41"/>
      <c r="HD11" s="41"/>
      <c r="HE11" s="41"/>
      <c r="HF11" s="41"/>
      <c r="HG11" s="41"/>
      <c r="HH11" s="41" t="str">
        <f>IF(AND(HC11="*",OR(HD12="*",HE12="*",HF12="*")), 1,"")</f>
        <v/>
      </c>
      <c r="HI11" s="41" t="str">
        <f>IF(AND(HC11="*",HG12="*"),1,"")</f>
        <v/>
      </c>
      <c r="HJ11" s="41" t="str">
        <f>IF(AND(HG12="*", OR(HD11="*", HE11="*",HF11="*")),1,"")</f>
        <v/>
      </c>
      <c r="HK11" s="41" t="str">
        <f>IF(AND(HC12="*",OR(HD11="*",HE11="*",HF11="*",HG11="*")),1,IF(AND(HG11="*",OR(HC12="*",HD12="*",HE12="*",HF12="*")),1,""))</f>
        <v/>
      </c>
      <c r="HL11" s="41" t="str">
        <f>IF(AND(HD11="*",OR(HD12="*",HE12="*",HF12="*")),1,IF(AND(HE11="*",OR(HD12="*",HE12="*",HF12="*")),1,IF(AND(HF11="*",OR(HD12="*",HE12="*",HF12="*")),1,"")))</f>
        <v/>
      </c>
      <c r="HM11" s="41" t="str">
        <f>IF(AND(HC11="*",HC12="*"),1,"")</f>
        <v/>
      </c>
      <c r="HO11" s="41"/>
      <c r="HP11" s="41"/>
      <c r="HQ11" s="41"/>
      <c r="HR11" s="41"/>
      <c r="HS11" s="41"/>
      <c r="HT11" s="41" t="str">
        <f>IF(AND(HO11="*",OR(HP12="*",HQ12="*",HR12="*")), 1,"")</f>
        <v/>
      </c>
      <c r="HU11" s="41" t="str">
        <f>IF(AND(HO11="*",HS12="*"),1,"")</f>
        <v/>
      </c>
      <c r="HV11" s="41" t="str">
        <f>IF(AND(HS12="*", OR(HP11="*", HQ11="*",HR11="*")),1,"")</f>
        <v/>
      </c>
      <c r="HW11" s="41" t="str">
        <f>IF(AND(HO12="*",OR(HP11="*",HQ11="*",HR11="*",HS11="*")),1,IF(AND(HS11="*",OR(HO12="*",HP12="*",HQ12="*",HR12="*")),1,""))</f>
        <v/>
      </c>
      <c r="HX11" s="41" t="str">
        <f>IF(AND(HP11="*",OR(HP12="*",HQ12="*",HR12="*")),1,IF(AND(HQ11="*",OR(HP12="*",HQ12="*",HR12="*")),1,IF(AND(HR11="*",OR(HP12="*",HQ12="*",HR12="*")),1,"")))</f>
        <v/>
      </c>
      <c r="HY11" s="41" t="str">
        <f>IF(AND(HO11="*",HO12="*"),1,"")</f>
        <v/>
      </c>
      <c r="IA11" s="41"/>
      <c r="IB11" s="41"/>
      <c r="IC11" s="41"/>
      <c r="ID11" s="41"/>
      <c r="IE11" s="41"/>
      <c r="IF11" s="41" t="str">
        <f>IF(AND(IA11="*",OR(IB12="*",IC12="*",ID12="*")), 1,"")</f>
        <v/>
      </c>
      <c r="IG11" s="41" t="str">
        <f>IF(AND(IA11="*",IE12="*"),1,"")</f>
        <v/>
      </c>
      <c r="IH11" s="41" t="str">
        <f>IF(AND(IE12="*", OR(IB11="*", IC11="*",ID11="*")),1,"")</f>
        <v/>
      </c>
      <c r="II11" s="41" t="str">
        <f>IF(AND(IA12="*",OR(IB11="*",IC11="*",ID11="*",IE11="*")),1,IF(AND(IE11="*",OR(IA12="*",IB12="*",IC12="*",ID12="*")),1,""))</f>
        <v/>
      </c>
      <c r="IJ11" s="41" t="str">
        <f>IF(AND(IB11="*",OR(IB12="*",IC12="*",ID12="*")),1,IF(AND(IC11="*",OR(IB12="*",IC12="*",ID12="*")),1,IF(AND(ID11="*",OR(IB12="*",IC12="*",ID12="*")),1,"")))</f>
        <v/>
      </c>
      <c r="IK11" s="41" t="str">
        <f>IF(AND(IA11="*",IA12="*"),1,"")</f>
        <v/>
      </c>
      <c r="IL11" s="41">
        <f>COUNT(J11,V11,AH11,AT11,BF11,BS11,CE11,CQ11,DC11,DO11,EA11,EM11,EY11,FK11,FW11,GJ11,GV11,HH11,HT11,IF11)</f>
        <v>0</v>
      </c>
      <c r="IM11" s="41">
        <f t="shared" ref="IM11:IQ11" si="4">COUNT(K11,W11,AI11,AU11,BG11,BT11,CF11,CR11,DD11,DP11,EB11,EN11,EZ11,FL11,FX11,GK11,GW11,HI11,HU11,IG11)</f>
        <v>0</v>
      </c>
      <c r="IN11" s="41">
        <f t="shared" si="4"/>
        <v>0</v>
      </c>
      <c r="IO11" s="41">
        <f t="shared" si="4"/>
        <v>0</v>
      </c>
      <c r="IP11" s="41">
        <f t="shared" si="4"/>
        <v>0</v>
      </c>
      <c r="IQ11" s="41">
        <f t="shared" si="4"/>
        <v>0</v>
      </c>
    </row>
    <row r="12" spans="2:251" ht="15" customHeight="1" x14ac:dyDescent="0.4">
      <c r="B12" s="277"/>
      <c r="C12" s="279"/>
      <c r="D12" s="42" t="s">
        <v>54</v>
      </c>
      <c r="E12" s="41"/>
      <c r="F12" s="41"/>
      <c r="G12" s="41"/>
      <c r="H12" s="41"/>
      <c r="I12" s="41"/>
      <c r="J12" s="43"/>
      <c r="K12" s="43"/>
      <c r="L12" s="43"/>
      <c r="M12" s="43"/>
      <c r="N12" s="43"/>
      <c r="O12" s="43"/>
      <c r="Q12" s="41"/>
      <c r="R12" s="41"/>
      <c r="S12" s="41"/>
      <c r="T12" s="41"/>
      <c r="U12" s="41"/>
      <c r="V12" s="43"/>
      <c r="W12" s="43"/>
      <c r="X12" s="43"/>
      <c r="Y12" s="43"/>
      <c r="Z12" s="43"/>
      <c r="AA12" s="43"/>
      <c r="AC12" s="41"/>
      <c r="AD12" s="41"/>
      <c r="AE12" s="41"/>
      <c r="AF12" s="41"/>
      <c r="AG12" s="41"/>
      <c r="AH12" s="43"/>
      <c r="AI12" s="43"/>
      <c r="AJ12" s="43"/>
      <c r="AK12" s="43"/>
      <c r="AL12" s="43"/>
      <c r="AM12" s="43"/>
      <c r="AO12" s="41"/>
      <c r="AP12" s="41"/>
      <c r="AQ12" s="41"/>
      <c r="AR12" s="41"/>
      <c r="AS12" s="41"/>
      <c r="AT12" s="43"/>
      <c r="AU12" s="43"/>
      <c r="AV12" s="43"/>
      <c r="AW12" s="43"/>
      <c r="AX12" s="43"/>
      <c r="AY12" s="43"/>
      <c r="BA12" s="41"/>
      <c r="BB12" s="41"/>
      <c r="BC12" s="41"/>
      <c r="BD12" s="41"/>
      <c r="BE12" s="41"/>
      <c r="BF12" s="43"/>
      <c r="BG12" s="43"/>
      <c r="BH12" s="43"/>
      <c r="BI12" s="43"/>
      <c r="BJ12" s="43"/>
      <c r="BK12" s="43"/>
      <c r="BM12" s="41"/>
      <c r="BN12" s="41"/>
      <c r="BO12" s="41"/>
      <c r="BP12" s="41"/>
      <c r="BQ12" s="41"/>
      <c r="BR12" s="41"/>
      <c r="BS12" s="43"/>
      <c r="BT12" s="43"/>
      <c r="BU12" s="43"/>
      <c r="BV12" s="43"/>
      <c r="BW12" s="43"/>
      <c r="BX12" s="43"/>
      <c r="BZ12" s="41"/>
      <c r="CA12" s="41"/>
      <c r="CB12" s="41"/>
      <c r="CC12" s="41"/>
      <c r="CD12" s="41"/>
      <c r="CE12" s="43"/>
      <c r="CF12" s="43"/>
      <c r="CG12" s="43"/>
      <c r="CH12" s="43"/>
      <c r="CI12" s="43"/>
      <c r="CJ12" s="43"/>
      <c r="CL12" s="41"/>
      <c r="CM12" s="41"/>
      <c r="CN12" s="41"/>
      <c r="CO12" s="41"/>
      <c r="CP12" s="41"/>
      <c r="CQ12" s="43"/>
      <c r="CR12" s="43"/>
      <c r="CS12" s="43"/>
      <c r="CT12" s="43"/>
      <c r="CU12" s="43"/>
      <c r="CV12" s="43"/>
      <c r="CX12" s="41"/>
      <c r="CY12" s="41"/>
      <c r="CZ12" s="41"/>
      <c r="DA12" s="41"/>
      <c r="DB12" s="41"/>
      <c r="DC12" s="43"/>
      <c r="DD12" s="43"/>
      <c r="DE12" s="43"/>
      <c r="DF12" s="43"/>
      <c r="DG12" s="43"/>
      <c r="DH12" s="43"/>
      <c r="DJ12" s="41"/>
      <c r="DK12" s="41"/>
      <c r="DL12" s="41"/>
      <c r="DM12" s="41"/>
      <c r="DN12" s="41"/>
      <c r="DO12" s="43"/>
      <c r="DP12" s="43"/>
      <c r="DQ12" s="43"/>
      <c r="DR12" s="43"/>
      <c r="DS12" s="43"/>
      <c r="DT12" s="43"/>
      <c r="DV12" s="41"/>
      <c r="DW12" s="41"/>
      <c r="DX12" s="41"/>
      <c r="DY12" s="41"/>
      <c r="DZ12" s="41"/>
      <c r="EA12" s="43"/>
      <c r="EB12" s="43"/>
      <c r="EC12" s="43"/>
      <c r="ED12" s="43"/>
      <c r="EE12" s="43"/>
      <c r="EF12" s="43"/>
      <c r="EH12" s="41"/>
      <c r="EI12" s="41"/>
      <c r="EJ12" s="41"/>
      <c r="EK12" s="41"/>
      <c r="EL12" s="41"/>
      <c r="EM12" s="43"/>
      <c r="EN12" s="43"/>
      <c r="EO12" s="43"/>
      <c r="EP12" s="43"/>
      <c r="EQ12" s="43"/>
      <c r="ER12" s="43"/>
      <c r="ET12" s="41"/>
      <c r="EU12" s="41"/>
      <c r="EV12" s="41"/>
      <c r="EW12" s="41"/>
      <c r="EX12" s="41"/>
      <c r="EY12" s="43"/>
      <c r="EZ12" s="43"/>
      <c r="FA12" s="43"/>
      <c r="FB12" s="43"/>
      <c r="FC12" s="43"/>
      <c r="FD12" s="43"/>
      <c r="FF12" s="41"/>
      <c r="FG12" s="41"/>
      <c r="FH12" s="41"/>
      <c r="FI12" s="41"/>
      <c r="FJ12" s="41"/>
      <c r="FK12" s="43"/>
      <c r="FL12" s="43"/>
      <c r="FM12" s="43"/>
      <c r="FN12" s="43"/>
      <c r="FO12" s="43"/>
      <c r="FP12" s="43"/>
      <c r="FR12" s="41"/>
      <c r="FS12" s="41"/>
      <c r="FT12" s="41"/>
      <c r="FU12" s="41"/>
      <c r="FV12" s="41"/>
      <c r="FW12" s="43"/>
      <c r="FX12" s="43"/>
      <c r="FY12" s="43"/>
      <c r="FZ12" s="43"/>
      <c r="GA12" s="43"/>
      <c r="GB12" s="43"/>
      <c r="GD12" s="41"/>
      <c r="GE12" s="41"/>
      <c r="GF12" s="41"/>
      <c r="GG12" s="41"/>
      <c r="GH12" s="41"/>
      <c r="GI12" s="41"/>
      <c r="GJ12" s="43"/>
      <c r="GK12" s="43"/>
      <c r="GL12" s="43"/>
      <c r="GM12" s="43"/>
      <c r="GN12" s="43"/>
      <c r="GO12" s="43"/>
      <c r="GQ12" s="41"/>
      <c r="GR12" s="41"/>
      <c r="GS12" s="41"/>
      <c r="GT12" s="41"/>
      <c r="GU12" s="41"/>
      <c r="GV12" s="43"/>
      <c r="GW12" s="43"/>
      <c r="GX12" s="43"/>
      <c r="GY12" s="43"/>
      <c r="GZ12" s="43"/>
      <c r="HA12" s="43"/>
      <c r="HC12" s="41"/>
      <c r="HD12" s="41"/>
      <c r="HE12" s="41"/>
      <c r="HF12" s="41"/>
      <c r="HG12" s="41"/>
      <c r="HH12" s="43"/>
      <c r="HI12" s="43"/>
      <c r="HJ12" s="43"/>
      <c r="HK12" s="43"/>
      <c r="HL12" s="43"/>
      <c r="HM12" s="43"/>
      <c r="HO12" s="41"/>
      <c r="HP12" s="41"/>
      <c r="HQ12" s="41"/>
      <c r="HR12" s="41"/>
      <c r="HS12" s="41"/>
      <c r="HT12" s="43"/>
      <c r="HU12" s="43"/>
      <c r="HV12" s="43"/>
      <c r="HW12" s="43"/>
      <c r="HX12" s="43"/>
      <c r="HY12" s="43"/>
      <c r="IA12" s="41"/>
      <c r="IB12" s="41"/>
      <c r="IC12" s="41"/>
      <c r="ID12" s="41"/>
      <c r="IE12" s="41"/>
      <c r="IF12" s="43"/>
      <c r="IG12" s="43"/>
      <c r="IH12" s="43"/>
      <c r="II12" s="43"/>
      <c r="IJ12" s="43"/>
      <c r="IK12" s="43"/>
    </row>
    <row r="13" spans="2:251" ht="15" customHeight="1" x14ac:dyDescent="0.4">
      <c r="B13" s="273">
        <v>6</v>
      </c>
      <c r="C13" s="274">
        <f>고객요구사항도출표!C10</f>
        <v>0</v>
      </c>
      <c r="D13" s="40" t="s">
        <v>55</v>
      </c>
      <c r="E13" s="44"/>
      <c r="F13" s="44"/>
      <c r="G13" s="44"/>
      <c r="H13" s="44"/>
      <c r="I13" s="44"/>
      <c r="J13" s="44" t="str">
        <f>IF(AND(E13="*",OR(F14="*",G14="*",H14="*")), 1,"")</f>
        <v/>
      </c>
      <c r="K13" s="44" t="str">
        <f>IF(AND(E13="*",I14="*"),1,"")</f>
        <v/>
      </c>
      <c r="L13" s="44" t="str">
        <f>IF(AND(I14="*", OR(F13="*", G13="*",H13="*")),1,"")</f>
        <v/>
      </c>
      <c r="M13" s="44" t="str">
        <f>IF(AND(E14="*",OR(F13="*",G13="*",H13="*",I13="*")),1,IF(AND(I13="*",OR(E14="*",F14="*",G14="*",H14="*")),1,""))</f>
        <v/>
      </c>
      <c r="N13" s="44" t="str">
        <f>IF(AND(F13="*",OR(F14="*",G14="*",H14="*")),1,IF(AND(G13="*",OR(F14="*",G14="*",H14="*")),1,IF(AND(H13="*",OR(F14="*",G14="*",H14="*")),1,"")))</f>
        <v/>
      </c>
      <c r="O13" s="44" t="str">
        <f>IF(AND(E13="*",E14="*"),1,"")</f>
        <v/>
      </c>
      <c r="Q13" s="44"/>
      <c r="R13" s="44"/>
      <c r="S13" s="44"/>
      <c r="T13" s="44"/>
      <c r="U13" s="44"/>
      <c r="V13" s="44" t="str">
        <f>IF(AND(Q13="*",OR(R14="*",S14="*",T14="*")), 1,"")</f>
        <v/>
      </c>
      <c r="W13" s="44" t="str">
        <f>IF(AND(Q13="*",U14="*"),1,"")</f>
        <v/>
      </c>
      <c r="X13" s="44" t="str">
        <f>IF(AND(U14="*", OR(R13="*", S13="*",T13="*")),1,"")</f>
        <v/>
      </c>
      <c r="Y13" s="44" t="str">
        <f>IF(AND(Q14="*",OR(R13="*",S13="*",T13="*",U13="*")),1,IF(AND(U13="*",OR(Q14="*",R14="*",S14="*",T14="*")),1,""))</f>
        <v/>
      </c>
      <c r="Z13" s="44" t="str">
        <f>IF(AND(R13="*",OR(R14="*",S14="*",T14="*")),1,IF(AND(S13="*",OR(R14="*",S14="*",T14="*")),1,IF(AND(T13="*",OR(R14="*",S14="*",T14="*")),1,"")))</f>
        <v/>
      </c>
      <c r="AA13" s="44" t="str">
        <f>IF(AND(Q13="*",Q14="*"),1,"")</f>
        <v/>
      </c>
      <c r="AC13" s="44"/>
      <c r="AD13" s="44"/>
      <c r="AE13" s="44"/>
      <c r="AF13" s="44"/>
      <c r="AG13" s="44"/>
      <c r="AH13" s="44" t="str">
        <f>IF(AND(AC13="*",OR(AD14="*",AE14="*",AF14="*")), 1,"")</f>
        <v/>
      </c>
      <c r="AI13" s="44" t="str">
        <f>IF(AND(AC13="*",AG14="*"),1,"")</f>
        <v/>
      </c>
      <c r="AJ13" s="44" t="str">
        <f>IF(AND(AG14="*", OR(AD13="*", AE13="*",AF13="*")),1,"")</f>
        <v/>
      </c>
      <c r="AK13" s="44" t="str">
        <f>IF(AND(AC14="*",OR(AD13="*",AE13="*",AF13="*",AG13="*")),1,IF(AND(AG13="*",OR(AC14="*",AD14="*",AE14="*",AF14="*")),1,""))</f>
        <v/>
      </c>
      <c r="AL13" s="44" t="str">
        <f>IF(AND(AD13="*",OR(AD14="*",AE14="*",AF14="*")),1,IF(AND(AE13="*",OR(AD14="*",AE14="*",AF14="*")),1,IF(AND(AF13="*",OR(AD14="*",AE14="*",AF14="*")),1,"")))</f>
        <v/>
      </c>
      <c r="AM13" s="44" t="str">
        <f>IF(AND(AC13="*",AC14="*"),1,"")</f>
        <v/>
      </c>
      <c r="AO13" s="44"/>
      <c r="AP13" s="44"/>
      <c r="AQ13" s="44"/>
      <c r="AR13" s="44"/>
      <c r="AS13" s="44"/>
      <c r="AT13" s="44" t="str">
        <f>IF(AND(AO13="*",OR(AP14="*",AQ14="*",AR14="*")), 1,"")</f>
        <v/>
      </c>
      <c r="AU13" s="44" t="str">
        <f>IF(AND(AO13="*",AS14="*"),1,"")</f>
        <v/>
      </c>
      <c r="AV13" s="44" t="str">
        <f>IF(AND(AS14="*", OR(AP13="*", AQ13="*",AR13="*")),1,"")</f>
        <v/>
      </c>
      <c r="AW13" s="44" t="str">
        <f>IF(AND(AO14="*",OR(AP13="*",AQ13="*",AR13="*",AS13="*")),1,IF(AND(AS13="*",OR(AO14="*",AP14="*",AQ14="*",AR14="*")),1,""))</f>
        <v/>
      </c>
      <c r="AX13" s="44" t="str">
        <f>IF(AND(AP13="*",OR(AP14="*",AQ14="*",AR14="*")),1,IF(AND(AQ13="*",OR(AP14="*",AQ14="*",AR14="*")),1,IF(AND(AR13="*",OR(AP14="*",AQ14="*",AR14="*")),1,"")))</f>
        <v/>
      </c>
      <c r="AY13" s="44" t="str">
        <f>IF(AND(AO13="*",AO14="*"),1,"")</f>
        <v/>
      </c>
      <c r="BA13" s="44"/>
      <c r="BB13" s="44"/>
      <c r="BC13" s="44"/>
      <c r="BD13" s="44"/>
      <c r="BE13" s="44"/>
      <c r="BF13" s="44" t="str">
        <f>IF(AND(BA13="*",OR(BB14="*",BC14="*",BD14="*")), 1,"")</f>
        <v/>
      </c>
      <c r="BG13" s="44" t="str">
        <f>IF(AND(BA13="*",BE14="*"),1,"")</f>
        <v/>
      </c>
      <c r="BH13" s="44" t="str">
        <f>IF(AND(BE14="*", OR(BB13="*", BC13="*",BD13="*")),1,"")</f>
        <v/>
      </c>
      <c r="BI13" s="44" t="str">
        <f>IF(AND(BA14="*",OR(BB13="*",BC13="*",BD13="*",BE13="*")),1,IF(AND(BE13="*",OR(BA14="*",BB14="*",BC14="*",BD14="*")),1,""))</f>
        <v/>
      </c>
      <c r="BJ13" s="44" t="str">
        <f>IF(AND(BB13="*",OR(BB14="*",BC14="*",BD14="*")),1,IF(AND(BC13="*",OR(BB14="*",BC14="*",BD14="*")),1,IF(AND(BD13="*",OR(BB14="*",BC14="*",BD14="*")),1,"")))</f>
        <v/>
      </c>
      <c r="BK13" s="44" t="str">
        <f>IF(AND(BA13="*",BA14="*"),1,"")</f>
        <v/>
      </c>
      <c r="BM13" s="44"/>
      <c r="BN13" s="44"/>
      <c r="BO13" s="44"/>
      <c r="BP13" s="44"/>
      <c r="BQ13" s="44"/>
      <c r="BR13" s="44"/>
      <c r="BS13" s="44" t="str">
        <f>IF(AND(BM13="*",OR(BN14="*",BO14="*",BP14="*")), 1,"")</f>
        <v/>
      </c>
      <c r="BT13" s="44" t="str">
        <f>IF(AND(BM13="*",BQ14="*"),1,"")</f>
        <v/>
      </c>
      <c r="BU13" s="44" t="str">
        <f>IF(AND(BQ14="*", OR(BN13="*", BO13="*",BP13="*")),1,"")</f>
        <v/>
      </c>
      <c r="BV13" s="44" t="str">
        <f>IF(AND(BM14="*",OR(BN13="*",BO13="*",BP13="*",BQ13="*")),1,IF(AND(BQ13="*",OR(BM14="*",BN14="*",BO14="*",BP14="*")),1,""))</f>
        <v/>
      </c>
      <c r="BW13" s="44" t="str">
        <f>IF(AND(BN13="*",OR(BN14="*",BO14="*",BP14="*")),1,IF(AND(BO13="*",OR(BN14="*",BO14="*",BP14="*")),1,IF(AND(BP13="*",OR(BN14="*",BO14="*",BP14="*")),1,"")))</f>
        <v/>
      </c>
      <c r="BX13" s="44" t="str">
        <f>IF(AND(BM13="*",BM14="*"),1,"")</f>
        <v/>
      </c>
      <c r="BZ13" s="44"/>
      <c r="CA13" s="44"/>
      <c r="CB13" s="44"/>
      <c r="CC13" s="44"/>
      <c r="CD13" s="44"/>
      <c r="CE13" s="44" t="str">
        <f>IF(AND(BZ13="*",OR(CA14="*",CB14="*",CC14="*")), 1,"")</f>
        <v/>
      </c>
      <c r="CF13" s="44" t="str">
        <f>IF(AND(BZ13="*",CD14="*"),1,"")</f>
        <v/>
      </c>
      <c r="CG13" s="44" t="str">
        <f>IF(AND(CD14="*", OR(CA13="*", CB13="*",CC13="*")),1,"")</f>
        <v/>
      </c>
      <c r="CH13" s="44" t="str">
        <f>IF(AND(BZ14="*",OR(CA13="*",CB13="*",CC13="*",CD13="*")),1,IF(AND(CD13="*",OR(BZ14="*",CA14="*",CB14="*",CC14="*")),1,""))</f>
        <v/>
      </c>
      <c r="CI13" s="44" t="str">
        <f>IF(AND(CA13="*",OR(CA14="*",CB14="*",CC14="*")),1,IF(AND(CB13="*",OR(CA14="*",CB14="*",CC14="*")),1,IF(AND(CC13="*",OR(CA14="*",CB14="*",CC14="*")),1,"")))</f>
        <v/>
      </c>
      <c r="CJ13" s="44" t="str">
        <f>IF(AND(BZ13="*",BZ14="*"),1,"")</f>
        <v/>
      </c>
      <c r="CL13" s="44"/>
      <c r="CM13" s="44"/>
      <c r="CN13" s="44"/>
      <c r="CO13" s="44"/>
      <c r="CP13" s="44"/>
      <c r="CQ13" s="44" t="str">
        <f>IF(AND(CL13="*",OR(CM14="*",CN14="*",CO14="*")), 1,"")</f>
        <v/>
      </c>
      <c r="CR13" s="44" t="str">
        <f>IF(AND(CL13="*",CP14="*"),1,"")</f>
        <v/>
      </c>
      <c r="CS13" s="44" t="str">
        <f>IF(AND(CP14="*", OR(CM13="*", CN13="*",CO13="*")),1,"")</f>
        <v/>
      </c>
      <c r="CT13" s="44" t="str">
        <f>IF(AND(CL14="*",OR(CM13="*",CN13="*",CO13="*",CP13="*")),1,IF(AND(CP13="*",OR(CL14="*",CM14="*",CN14="*",CO14="*")),1,""))</f>
        <v/>
      </c>
      <c r="CU13" s="44" t="str">
        <f>IF(AND(CM13="*",OR(CM14="*",CN14="*",CO14="*")),1,IF(AND(CN13="*",OR(CM14="*",CN14="*",CO14="*")),1,IF(AND(CO13="*",OR(CM14="*",CN14="*",CO14="*")),1,"")))</f>
        <v/>
      </c>
      <c r="CV13" s="44" t="str">
        <f>IF(AND(CL13="*",CL14="*"),1,"")</f>
        <v/>
      </c>
      <c r="CX13" s="44"/>
      <c r="CY13" s="44"/>
      <c r="CZ13" s="44"/>
      <c r="DA13" s="44"/>
      <c r="DB13" s="44"/>
      <c r="DC13" s="44" t="str">
        <f>IF(AND(CX13="*",OR(CY14="*",CZ14="*",DA14="*")), 1,"")</f>
        <v/>
      </c>
      <c r="DD13" s="44" t="str">
        <f>IF(AND(CX13="*",DB14="*"),1,"")</f>
        <v/>
      </c>
      <c r="DE13" s="44" t="str">
        <f>IF(AND(DB14="*", OR(CY13="*", CZ13="*",DA13="*")),1,"")</f>
        <v/>
      </c>
      <c r="DF13" s="44" t="str">
        <f>IF(AND(CX14="*",OR(CY13="*",CZ13="*",DA13="*",DB13="*")),1,IF(AND(DB13="*",OR(CX14="*",CY14="*",CZ14="*",DA14="*")),1,""))</f>
        <v/>
      </c>
      <c r="DG13" s="44" t="str">
        <f>IF(AND(CY13="*",OR(CY14="*",CZ14="*",DA14="*")),1,IF(AND(CZ13="*",OR(CY14="*",CZ14="*",DA14="*")),1,IF(AND(DA13="*",OR(CY14="*",CZ14="*",DA14="*")),1,"")))</f>
        <v/>
      </c>
      <c r="DH13" s="44" t="str">
        <f>IF(AND(CX13="*",CX14="*"),1,"")</f>
        <v/>
      </c>
      <c r="DJ13" s="44"/>
      <c r="DK13" s="44"/>
      <c r="DL13" s="44"/>
      <c r="DM13" s="44"/>
      <c r="DN13" s="44"/>
      <c r="DO13" s="44" t="str">
        <f>IF(AND(DJ13="*",OR(DK14="*",DL14="*",DM14="*")), 1,"")</f>
        <v/>
      </c>
      <c r="DP13" s="44" t="str">
        <f>IF(AND(DJ13="*",DN14="*"),1,"")</f>
        <v/>
      </c>
      <c r="DQ13" s="44" t="str">
        <f>IF(AND(DN14="*", OR(DK13="*", DL13="*",DM13="*")),1,"")</f>
        <v/>
      </c>
      <c r="DR13" s="44" t="str">
        <f>IF(AND(DJ14="*",OR(DK13="*",DL13="*",DM13="*",DN13="*")),1,IF(AND(DN13="*",OR(DJ14="*",DK14="*",DL14="*",DM14="*")),1,""))</f>
        <v/>
      </c>
      <c r="DS13" s="44" t="str">
        <f>IF(AND(DK13="*",OR(DK14="*",DL14="*",DM14="*")),1,IF(AND(DL13="*",OR(DK14="*",DL14="*",DM14="*")),1,IF(AND(DM13="*",OR(DK14="*",DL14="*",DM14="*")),1,"")))</f>
        <v/>
      </c>
      <c r="DT13" s="44" t="str">
        <f>IF(AND(DJ13="*",DJ14="*"),1,"")</f>
        <v/>
      </c>
      <c r="DV13" s="44"/>
      <c r="DW13" s="44"/>
      <c r="DX13" s="44"/>
      <c r="DY13" s="44"/>
      <c r="DZ13" s="44"/>
      <c r="EA13" s="44" t="str">
        <f>IF(AND(DV13="*",OR(DW14="*",DX14="*",DY14="*")), 1,"")</f>
        <v/>
      </c>
      <c r="EB13" s="44" t="str">
        <f>IF(AND(DV13="*",DZ14="*"),1,"")</f>
        <v/>
      </c>
      <c r="EC13" s="44" t="str">
        <f>IF(AND(DZ14="*", OR(DW13="*", DX13="*",DY13="*")),1,"")</f>
        <v/>
      </c>
      <c r="ED13" s="44" t="str">
        <f>IF(AND(DV14="*",OR(DW13="*",DX13="*",DY13="*",DZ13="*")),1,IF(AND(DZ13="*",OR(DV14="*",DW14="*",DX14="*",DY14="*")),1,""))</f>
        <v/>
      </c>
      <c r="EE13" s="44" t="str">
        <f>IF(AND(DW13="*",OR(DW14="*",DX14="*",DY14="*")),1,IF(AND(DX13="*",OR(DW14="*",DX14="*",DY14="*")),1,IF(AND(DY13="*",OR(DW14="*",DX14="*",DY14="*")),1,"")))</f>
        <v/>
      </c>
      <c r="EF13" s="44" t="str">
        <f>IF(AND(DV13="*",DV14="*"),1,"")</f>
        <v/>
      </c>
      <c r="EH13" s="44"/>
      <c r="EI13" s="44"/>
      <c r="EJ13" s="44"/>
      <c r="EK13" s="44"/>
      <c r="EL13" s="44"/>
      <c r="EM13" s="44" t="str">
        <f>IF(AND(EH13="*",OR(EI14="*",EJ14="*",EK14="*")), 1,"")</f>
        <v/>
      </c>
      <c r="EN13" s="44" t="str">
        <f>IF(AND(EH13="*",EL14="*"),1,"")</f>
        <v/>
      </c>
      <c r="EO13" s="44" t="str">
        <f>IF(AND(EL14="*", OR(EI13="*", EJ13="*",EK13="*")),1,"")</f>
        <v/>
      </c>
      <c r="EP13" s="44" t="str">
        <f>IF(AND(EH14="*",OR(EI13="*",EJ13="*",EK13="*",EL13="*")),1,IF(AND(EL13="*",OR(EH14="*",EI14="*",EJ14="*",EK14="*")),1,""))</f>
        <v/>
      </c>
      <c r="EQ13" s="44" t="str">
        <f>IF(AND(EI13="*",OR(EI14="*",EJ14="*",EK14="*")),1,IF(AND(EJ13="*",OR(EI14="*",EJ14="*",EK14="*")),1,IF(AND(EK13="*",OR(EI14="*",EJ14="*",EK14="*")),1,"")))</f>
        <v/>
      </c>
      <c r="ER13" s="44" t="str">
        <f>IF(AND(EH13="*",EH14="*"),1,"")</f>
        <v/>
      </c>
      <c r="ET13" s="44"/>
      <c r="EU13" s="44"/>
      <c r="EV13" s="44"/>
      <c r="EW13" s="44"/>
      <c r="EX13" s="44"/>
      <c r="EY13" s="44" t="str">
        <f>IF(AND(ET13="*",OR(EU14="*",EV14="*",EW14="*")), 1,"")</f>
        <v/>
      </c>
      <c r="EZ13" s="44" t="str">
        <f>IF(AND(ET13="*",EX14="*"),1,"")</f>
        <v/>
      </c>
      <c r="FA13" s="44" t="str">
        <f>IF(AND(EX14="*", OR(EU13="*", EV13="*",EW13="*")),1,"")</f>
        <v/>
      </c>
      <c r="FB13" s="44" t="str">
        <f>IF(AND(ET14="*",OR(EU13="*",EV13="*",EW13="*",EX13="*")),1,IF(AND(EX13="*",OR(ET14="*",EU14="*",EV14="*",EW14="*")),1,""))</f>
        <v/>
      </c>
      <c r="FC13" s="44" t="str">
        <f>IF(AND(EU13="*",OR(EU14="*",EV14="*",EW14="*")),1,IF(AND(EV13="*",OR(EU14="*",EV14="*",EW14="*")),1,IF(AND(EW13="*",OR(EU14="*",EV14="*",EW14="*")),1,"")))</f>
        <v/>
      </c>
      <c r="FD13" s="44" t="str">
        <f>IF(AND(ET13="*",ET14="*"),1,"")</f>
        <v/>
      </c>
      <c r="FF13" s="44"/>
      <c r="FG13" s="44"/>
      <c r="FH13" s="44"/>
      <c r="FI13" s="44"/>
      <c r="FJ13" s="44"/>
      <c r="FK13" s="44" t="str">
        <f>IF(AND(FF13="*",OR(FG14="*",FH14="*",FI14="*")), 1,"")</f>
        <v/>
      </c>
      <c r="FL13" s="44" t="str">
        <f>IF(AND(FF13="*",FJ14="*"),1,"")</f>
        <v/>
      </c>
      <c r="FM13" s="44" t="str">
        <f>IF(AND(FJ14="*", OR(FG13="*", FH13="*",FI13="*")),1,"")</f>
        <v/>
      </c>
      <c r="FN13" s="44" t="str">
        <f>IF(AND(FF14="*",OR(FG13="*",FH13="*",FI13="*",FJ13="*")),1,IF(AND(FJ13="*",OR(FF14="*",FG14="*",FH14="*",FI14="*")),1,""))</f>
        <v/>
      </c>
      <c r="FO13" s="44" t="str">
        <f>IF(AND(FG13="*",OR(FG14="*",FH14="*",FI14="*")),1,IF(AND(FH13="*",OR(FG14="*",FH14="*",FI14="*")),1,IF(AND(FI13="*",OR(FG14="*",FH14="*",FI14="*")),1,"")))</f>
        <v/>
      </c>
      <c r="FP13" s="44" t="str">
        <f>IF(AND(FF13="*",FF14="*"),1,"")</f>
        <v/>
      </c>
      <c r="FR13" s="44"/>
      <c r="FS13" s="44"/>
      <c r="FT13" s="44"/>
      <c r="FU13" s="44"/>
      <c r="FV13" s="44"/>
      <c r="FW13" s="44" t="str">
        <f>IF(AND(FR13="*",OR(FS14="*",FT14="*",FU14="*")), 1,"")</f>
        <v/>
      </c>
      <c r="FX13" s="44" t="str">
        <f>IF(AND(FR13="*",FV14="*"),1,"")</f>
        <v/>
      </c>
      <c r="FY13" s="44" t="str">
        <f>IF(AND(FV14="*", OR(FS13="*", FT13="*",FU13="*")),1,"")</f>
        <v/>
      </c>
      <c r="FZ13" s="44" t="str">
        <f>IF(AND(FR14="*",OR(FS13="*",FT13="*",FU13="*",FV13="*")),1,IF(AND(FV13="*",OR(FR14="*",FS14="*",FT14="*",FU14="*")),1,""))</f>
        <v/>
      </c>
      <c r="GA13" s="44" t="str">
        <f>IF(AND(FS13="*",OR(FS14="*",FT14="*",FU14="*")),1,IF(AND(FT13="*",OR(FS14="*",FT14="*",FU14="*")),1,IF(AND(FU13="*",OR(FS14="*",FT14="*",FU14="*")),1,"")))</f>
        <v/>
      </c>
      <c r="GB13" s="44" t="str">
        <f>IF(AND(FR13="*",FR14="*"),1,"")</f>
        <v/>
      </c>
      <c r="GD13" s="44"/>
      <c r="GE13" s="44"/>
      <c r="GF13" s="44"/>
      <c r="GG13" s="44"/>
      <c r="GH13" s="44"/>
      <c r="GI13" s="44"/>
      <c r="GJ13" s="44" t="str">
        <f>IF(AND(GD13="*",OR(GE14="*",GF14="*",GG14="*")), 1,"")</f>
        <v/>
      </c>
      <c r="GK13" s="44" t="str">
        <f>IF(AND(GD13="*",GH14="*"),1,"")</f>
        <v/>
      </c>
      <c r="GL13" s="44" t="str">
        <f>IF(AND(GH14="*", OR(GE13="*", GF13="*",GG13="*")),1,"")</f>
        <v/>
      </c>
      <c r="GM13" s="44" t="str">
        <f>IF(AND(GD14="*",OR(GE13="*",GF13="*",GG13="*",GH13="*")),1,IF(AND(GH13="*",OR(GD14="*",GE14="*",GF14="*",GG14="*")),1,""))</f>
        <v/>
      </c>
      <c r="GN13" s="44" t="str">
        <f>IF(AND(GE13="*",OR(GE14="*",GF14="*",GG14="*")),1,IF(AND(GF13="*",OR(GE14="*",GF14="*",GG14="*")),1,IF(AND(GG13="*",OR(GE14="*",GF14="*",GG14="*")),1,"")))</f>
        <v/>
      </c>
      <c r="GO13" s="44" t="str">
        <f>IF(AND(GD13="*",GD14="*"),1,"")</f>
        <v/>
      </c>
      <c r="GQ13" s="44"/>
      <c r="GR13" s="44"/>
      <c r="GS13" s="44"/>
      <c r="GT13" s="44"/>
      <c r="GU13" s="44"/>
      <c r="GV13" s="44" t="str">
        <f>IF(AND(GQ13="*",OR(GR14="*",GS14="*",GT14="*")), 1,"")</f>
        <v/>
      </c>
      <c r="GW13" s="44" t="str">
        <f>IF(AND(GQ13="*",GU14="*"),1,"")</f>
        <v/>
      </c>
      <c r="GX13" s="44" t="str">
        <f>IF(AND(GU14="*", OR(GR13="*", GS13="*",GT13="*")),1,"")</f>
        <v/>
      </c>
      <c r="GY13" s="44" t="str">
        <f>IF(AND(GQ14="*",OR(GR13="*",GS13="*",GT13="*",GU13="*")),1,IF(AND(GU13="*",OR(GQ14="*",GR14="*",GS14="*",GT14="*")),1,""))</f>
        <v/>
      </c>
      <c r="GZ13" s="44" t="str">
        <f>IF(AND(GR13="*",OR(GR14="*",GS14="*",GT14="*")),1,IF(AND(GS13="*",OR(GR14="*",GS14="*",GT14="*")),1,IF(AND(GT13="*",OR(GR14="*",GS14="*",GT14="*")),1,"")))</f>
        <v/>
      </c>
      <c r="HA13" s="44" t="str">
        <f>IF(AND(GQ13="*",GQ14="*"),1,"")</f>
        <v/>
      </c>
      <c r="HC13" s="44"/>
      <c r="HD13" s="44"/>
      <c r="HE13" s="44"/>
      <c r="HF13" s="44"/>
      <c r="HG13" s="44"/>
      <c r="HH13" s="44" t="str">
        <f>IF(AND(HC13="*",OR(HD14="*",HE14="*",HF14="*")), 1,"")</f>
        <v/>
      </c>
      <c r="HI13" s="44" t="str">
        <f>IF(AND(HC13="*",HG14="*"),1,"")</f>
        <v/>
      </c>
      <c r="HJ13" s="44" t="str">
        <f>IF(AND(HG14="*", OR(HD13="*", HE13="*",HF13="*")),1,"")</f>
        <v/>
      </c>
      <c r="HK13" s="44" t="str">
        <f>IF(AND(HC14="*",OR(HD13="*",HE13="*",HF13="*",HG13="*")),1,IF(AND(HG13="*",OR(HC14="*",HD14="*",HE14="*",HF14="*")),1,""))</f>
        <v/>
      </c>
      <c r="HL13" s="44" t="str">
        <f>IF(AND(HD13="*",OR(HD14="*",HE14="*",HF14="*")),1,IF(AND(HE13="*",OR(HD14="*",HE14="*",HF14="*")),1,IF(AND(HF13="*",OR(HD14="*",HE14="*",HF14="*")),1,"")))</f>
        <v/>
      </c>
      <c r="HM13" s="44" t="str">
        <f>IF(AND(HC13="*",HC14="*"),1,"")</f>
        <v/>
      </c>
      <c r="HO13" s="44"/>
      <c r="HP13" s="44"/>
      <c r="HQ13" s="44"/>
      <c r="HR13" s="44"/>
      <c r="HS13" s="44"/>
      <c r="HT13" s="44" t="str">
        <f>IF(AND(HO13="*",OR(HP14="*",HQ14="*",HR14="*")), 1,"")</f>
        <v/>
      </c>
      <c r="HU13" s="44" t="str">
        <f>IF(AND(HO13="*",HS14="*"),1,"")</f>
        <v/>
      </c>
      <c r="HV13" s="44" t="str">
        <f>IF(AND(HS14="*", OR(HP13="*", HQ13="*",HR13="*")),1,"")</f>
        <v/>
      </c>
      <c r="HW13" s="44" t="str">
        <f>IF(AND(HO14="*",OR(HP13="*",HQ13="*",HR13="*",HS13="*")),1,IF(AND(HS13="*",OR(HO14="*",HP14="*",HQ14="*",HR14="*")),1,""))</f>
        <v/>
      </c>
      <c r="HX13" s="44" t="str">
        <f>IF(AND(HP13="*",OR(HP14="*",HQ14="*",HR14="*")),1,IF(AND(HQ13="*",OR(HP14="*",HQ14="*",HR14="*")),1,IF(AND(HR13="*",OR(HP14="*",HQ14="*",HR14="*")),1,"")))</f>
        <v/>
      </c>
      <c r="HY13" s="44" t="str">
        <f>IF(AND(HO13="*",HO14="*"),1,"")</f>
        <v/>
      </c>
      <c r="IA13" s="44"/>
      <c r="IB13" s="44"/>
      <c r="IC13" s="44"/>
      <c r="ID13" s="44"/>
      <c r="IE13" s="44"/>
      <c r="IF13" s="44" t="str">
        <f>IF(AND(IA13="*",OR(IB14="*",IC14="*",ID14="*")), 1,"")</f>
        <v/>
      </c>
      <c r="IG13" s="44" t="str">
        <f>IF(AND(IA13="*",IE14="*"),1,"")</f>
        <v/>
      </c>
      <c r="IH13" s="44" t="str">
        <f>IF(AND(IE14="*", OR(IB13="*", IC13="*",ID13="*")),1,"")</f>
        <v/>
      </c>
      <c r="II13" s="44" t="str">
        <f>IF(AND(IA14="*",OR(IB13="*",IC13="*",ID13="*",IE13="*")),1,IF(AND(IE13="*",OR(IA14="*",IB14="*",IC14="*",ID14="*")),1,""))</f>
        <v/>
      </c>
      <c r="IJ13" s="44" t="str">
        <f>IF(AND(IB13="*",OR(IB14="*",IC14="*",ID14="*")),1,IF(AND(IC13="*",OR(IB14="*",IC14="*",ID14="*")),1,IF(AND(ID13="*",OR(IB14="*",IC14="*",ID14="*")),1,"")))</f>
        <v/>
      </c>
      <c r="IK13" s="44" t="str">
        <f>IF(AND(IA13="*",IA14="*"),1,"")</f>
        <v/>
      </c>
      <c r="IL13" s="44">
        <f>COUNT(J13,V13,AH13,AT13,BF13,BS13,CE13,CQ13,DC13,DO13,EA13,EM13,EY13,FK13,FW13,GJ13,GV13,HH13,HT13,IF13)</f>
        <v>0</v>
      </c>
      <c r="IM13" s="44">
        <f t="shared" ref="IM13:IQ13" si="5">COUNT(K13,W13,AI13,AU13,BG13,BT13,CF13,CR13,DD13,DP13,EB13,EN13,EZ13,FL13,FX13,GK13,GW13,HI13,HU13,IG13)</f>
        <v>0</v>
      </c>
      <c r="IN13" s="44">
        <f t="shared" si="5"/>
        <v>0</v>
      </c>
      <c r="IO13" s="44">
        <f t="shared" si="5"/>
        <v>0</v>
      </c>
      <c r="IP13" s="44">
        <f t="shared" si="5"/>
        <v>0</v>
      </c>
      <c r="IQ13" s="44">
        <f t="shared" si="5"/>
        <v>0</v>
      </c>
    </row>
    <row r="14" spans="2:251" ht="15" customHeight="1" x14ac:dyDescent="0.4">
      <c r="B14" s="273"/>
      <c r="C14" s="275"/>
      <c r="D14" s="42" t="s">
        <v>52</v>
      </c>
      <c r="E14" s="44"/>
      <c r="F14" s="44"/>
      <c r="G14" s="44"/>
      <c r="H14" s="44"/>
      <c r="I14" s="44"/>
      <c r="J14" s="43"/>
      <c r="K14" s="43"/>
      <c r="L14" s="43"/>
      <c r="M14" s="43"/>
      <c r="N14" s="43"/>
      <c r="O14" s="43"/>
      <c r="Q14" s="44"/>
      <c r="R14" s="44"/>
      <c r="S14" s="44"/>
      <c r="T14" s="44"/>
      <c r="U14" s="44"/>
      <c r="V14" s="43"/>
      <c r="W14" s="43"/>
      <c r="X14" s="43"/>
      <c r="Y14" s="43"/>
      <c r="Z14" s="43"/>
      <c r="AA14" s="43"/>
      <c r="AC14" s="44"/>
      <c r="AD14" s="44"/>
      <c r="AE14" s="44"/>
      <c r="AF14" s="44"/>
      <c r="AG14" s="44"/>
      <c r="AH14" s="43"/>
      <c r="AI14" s="43"/>
      <c r="AJ14" s="43"/>
      <c r="AK14" s="43"/>
      <c r="AL14" s="43"/>
      <c r="AM14" s="43"/>
      <c r="AO14" s="44"/>
      <c r="AP14" s="44"/>
      <c r="AQ14" s="44"/>
      <c r="AR14" s="44"/>
      <c r="AS14" s="44"/>
      <c r="AT14" s="43"/>
      <c r="AU14" s="43"/>
      <c r="AV14" s="43"/>
      <c r="AW14" s="43"/>
      <c r="AX14" s="43"/>
      <c r="AY14" s="43"/>
      <c r="BA14" s="44"/>
      <c r="BB14" s="44"/>
      <c r="BC14" s="44"/>
      <c r="BD14" s="44"/>
      <c r="BE14" s="44"/>
      <c r="BF14" s="43"/>
      <c r="BG14" s="43"/>
      <c r="BH14" s="43"/>
      <c r="BI14" s="43"/>
      <c r="BJ14" s="43"/>
      <c r="BK14" s="43"/>
      <c r="BM14" s="44"/>
      <c r="BN14" s="44"/>
      <c r="BO14" s="44"/>
      <c r="BP14" s="44"/>
      <c r="BQ14" s="44"/>
      <c r="BR14" s="44"/>
      <c r="BS14" s="43"/>
      <c r="BT14" s="43"/>
      <c r="BU14" s="43"/>
      <c r="BV14" s="43"/>
      <c r="BW14" s="43"/>
      <c r="BX14" s="43"/>
      <c r="BZ14" s="44"/>
      <c r="CA14" s="44"/>
      <c r="CB14" s="44"/>
      <c r="CC14" s="44"/>
      <c r="CD14" s="44"/>
      <c r="CE14" s="43"/>
      <c r="CF14" s="43"/>
      <c r="CG14" s="43"/>
      <c r="CH14" s="43"/>
      <c r="CI14" s="43"/>
      <c r="CJ14" s="43"/>
      <c r="CL14" s="44"/>
      <c r="CM14" s="44"/>
      <c r="CN14" s="44"/>
      <c r="CO14" s="44"/>
      <c r="CP14" s="44"/>
      <c r="CQ14" s="43"/>
      <c r="CR14" s="43"/>
      <c r="CS14" s="43"/>
      <c r="CT14" s="43"/>
      <c r="CU14" s="43"/>
      <c r="CV14" s="43"/>
      <c r="CX14" s="44"/>
      <c r="CY14" s="44"/>
      <c r="CZ14" s="44"/>
      <c r="DA14" s="44"/>
      <c r="DB14" s="44"/>
      <c r="DC14" s="43"/>
      <c r="DD14" s="43"/>
      <c r="DE14" s="43"/>
      <c r="DF14" s="43"/>
      <c r="DG14" s="43"/>
      <c r="DH14" s="43"/>
      <c r="DJ14" s="44"/>
      <c r="DK14" s="44"/>
      <c r="DL14" s="44"/>
      <c r="DM14" s="44"/>
      <c r="DN14" s="44"/>
      <c r="DO14" s="43"/>
      <c r="DP14" s="43"/>
      <c r="DQ14" s="43"/>
      <c r="DR14" s="43"/>
      <c r="DS14" s="43"/>
      <c r="DT14" s="43"/>
      <c r="DV14" s="44"/>
      <c r="DW14" s="44"/>
      <c r="DX14" s="44"/>
      <c r="DY14" s="44"/>
      <c r="DZ14" s="44"/>
      <c r="EA14" s="43"/>
      <c r="EB14" s="43"/>
      <c r="EC14" s="43"/>
      <c r="ED14" s="43"/>
      <c r="EE14" s="43"/>
      <c r="EF14" s="43"/>
      <c r="EH14" s="44"/>
      <c r="EI14" s="44"/>
      <c r="EJ14" s="44"/>
      <c r="EK14" s="44"/>
      <c r="EL14" s="44"/>
      <c r="EM14" s="43"/>
      <c r="EN14" s="43"/>
      <c r="EO14" s="43"/>
      <c r="EP14" s="43"/>
      <c r="EQ14" s="43"/>
      <c r="ER14" s="43"/>
      <c r="ET14" s="44"/>
      <c r="EU14" s="44"/>
      <c r="EV14" s="44"/>
      <c r="EW14" s="44"/>
      <c r="EX14" s="44"/>
      <c r="EY14" s="43"/>
      <c r="EZ14" s="43"/>
      <c r="FA14" s="43"/>
      <c r="FB14" s="43"/>
      <c r="FC14" s="43"/>
      <c r="FD14" s="43"/>
      <c r="FF14" s="44"/>
      <c r="FG14" s="44"/>
      <c r="FH14" s="44"/>
      <c r="FI14" s="44"/>
      <c r="FJ14" s="44"/>
      <c r="FK14" s="43"/>
      <c r="FL14" s="43"/>
      <c r="FM14" s="43"/>
      <c r="FN14" s="43"/>
      <c r="FO14" s="43"/>
      <c r="FP14" s="43"/>
      <c r="FR14" s="44"/>
      <c r="FS14" s="44"/>
      <c r="FT14" s="44"/>
      <c r="FU14" s="44"/>
      <c r="FV14" s="44"/>
      <c r="FW14" s="43"/>
      <c r="FX14" s="43"/>
      <c r="FY14" s="43"/>
      <c r="FZ14" s="43"/>
      <c r="GA14" s="43"/>
      <c r="GB14" s="43"/>
      <c r="GD14" s="44"/>
      <c r="GE14" s="44"/>
      <c r="GF14" s="44"/>
      <c r="GG14" s="44"/>
      <c r="GH14" s="44"/>
      <c r="GI14" s="44"/>
      <c r="GJ14" s="43"/>
      <c r="GK14" s="43"/>
      <c r="GL14" s="43"/>
      <c r="GM14" s="43"/>
      <c r="GN14" s="43"/>
      <c r="GO14" s="43"/>
      <c r="GQ14" s="44"/>
      <c r="GR14" s="44"/>
      <c r="GS14" s="44"/>
      <c r="GT14" s="44"/>
      <c r="GU14" s="44"/>
      <c r="GV14" s="43"/>
      <c r="GW14" s="43"/>
      <c r="GX14" s="43"/>
      <c r="GY14" s="43"/>
      <c r="GZ14" s="43"/>
      <c r="HA14" s="43"/>
      <c r="HC14" s="44"/>
      <c r="HD14" s="44"/>
      <c r="HE14" s="44"/>
      <c r="HF14" s="44"/>
      <c r="HG14" s="44"/>
      <c r="HH14" s="43"/>
      <c r="HI14" s="43"/>
      <c r="HJ14" s="43"/>
      <c r="HK14" s="43"/>
      <c r="HL14" s="43"/>
      <c r="HM14" s="43"/>
      <c r="HO14" s="44"/>
      <c r="HP14" s="44"/>
      <c r="HQ14" s="44"/>
      <c r="HR14" s="44"/>
      <c r="HS14" s="44"/>
      <c r="HT14" s="43"/>
      <c r="HU14" s="43"/>
      <c r="HV14" s="43"/>
      <c r="HW14" s="43"/>
      <c r="HX14" s="43"/>
      <c r="HY14" s="43"/>
      <c r="IA14" s="44"/>
      <c r="IB14" s="44"/>
      <c r="IC14" s="44"/>
      <c r="ID14" s="44"/>
      <c r="IE14" s="44"/>
      <c r="IF14" s="43"/>
      <c r="IG14" s="43"/>
      <c r="IH14" s="43"/>
      <c r="II14" s="43"/>
      <c r="IJ14" s="43"/>
      <c r="IK14" s="43"/>
    </row>
    <row r="15" spans="2:251" ht="15" customHeight="1" x14ac:dyDescent="0.4">
      <c r="B15" s="276">
        <v>7</v>
      </c>
      <c r="C15" s="278">
        <f>고객요구사항도출표!C11</f>
        <v>0</v>
      </c>
      <c r="D15" s="40" t="s">
        <v>58</v>
      </c>
      <c r="E15" s="41"/>
      <c r="F15" s="41"/>
      <c r="G15" s="41"/>
      <c r="H15" s="41"/>
      <c r="I15" s="41"/>
      <c r="J15" s="41" t="str">
        <f>IF(AND(E15="*",OR(F16="*",G16="*",H16="*")), 1,"")</f>
        <v/>
      </c>
      <c r="K15" s="41" t="str">
        <f>IF(AND(E15="*",I16="*"),1,"")</f>
        <v/>
      </c>
      <c r="L15" s="41" t="str">
        <f>IF(AND(I16="*", OR(F15="*", G15="*",H15="*")),1,"")</f>
        <v/>
      </c>
      <c r="M15" s="41" t="str">
        <f>IF(AND(E16="*",OR(F15="*",G15="*",H15="*",I15="*")),1,IF(AND(I15="*",OR(E16="*",F16="*",G16="*",H16="*")),1,""))</f>
        <v/>
      </c>
      <c r="N15" s="41" t="str">
        <f>IF(AND(F15="*",OR(F16="*",G16="*",H16="*")),1,IF(AND(G15="*",OR(F16="*",G16="*",H16="*")),1,IF(AND(H15="*",OR(F16="*",G16="*",H16="*")),1,"")))</f>
        <v/>
      </c>
      <c r="O15" s="41" t="str">
        <f>IF(AND(E15="*",E16="*"),1,"")</f>
        <v/>
      </c>
      <c r="Q15" s="41"/>
      <c r="R15" s="41"/>
      <c r="S15" s="41"/>
      <c r="T15" s="41"/>
      <c r="U15" s="41"/>
      <c r="V15" s="41" t="str">
        <f>IF(AND(Q15="*",OR(R16="*",S16="*",T16="*")), 1,"")</f>
        <v/>
      </c>
      <c r="W15" s="41" t="str">
        <f>IF(AND(Q15="*",U16="*"),1,"")</f>
        <v/>
      </c>
      <c r="X15" s="41" t="str">
        <f>IF(AND(U16="*", OR(R15="*", S15="*",T15="*")),1,"")</f>
        <v/>
      </c>
      <c r="Y15" s="41" t="str">
        <f>IF(AND(Q16="*",OR(R15="*",S15="*",T15="*",U15="*")),1,IF(AND(U15="*",OR(Q16="*",R16="*",S16="*",T16="*")),1,""))</f>
        <v/>
      </c>
      <c r="Z15" s="41" t="str">
        <f>IF(AND(R15="*",OR(R16="*",S16="*",T16="*")),1,IF(AND(S15="*",OR(R16="*",S16="*",T16="*")),1,IF(AND(T15="*",OR(R16="*",S16="*",T16="*")),1,"")))</f>
        <v/>
      </c>
      <c r="AA15" s="41" t="str">
        <f>IF(AND(Q15="*",Q16="*"),1,"")</f>
        <v/>
      </c>
      <c r="AC15" s="41"/>
      <c r="AD15" s="41"/>
      <c r="AE15" s="41"/>
      <c r="AF15" s="41"/>
      <c r="AG15" s="41"/>
      <c r="AH15" s="41" t="str">
        <f>IF(AND(AC15="*",OR(AD16="*",AE16="*",AF16="*")), 1,"")</f>
        <v/>
      </c>
      <c r="AI15" s="41" t="str">
        <f>IF(AND(AC15="*",AG16="*"),1,"")</f>
        <v/>
      </c>
      <c r="AJ15" s="41" t="str">
        <f>IF(AND(AG16="*", OR(AD15="*", AE15="*",AF15="*")),1,"")</f>
        <v/>
      </c>
      <c r="AK15" s="41" t="str">
        <f>IF(AND(AC16="*",OR(AD15="*",AE15="*",AF15="*",AG15="*")),1,IF(AND(AG15="*",OR(AC16="*",AD16="*",AE16="*",AF16="*")),1,""))</f>
        <v/>
      </c>
      <c r="AL15" s="41" t="str">
        <f>IF(AND(AD15="*",OR(AD16="*",AE16="*",AF16="*")),1,IF(AND(AE15="*",OR(AD16="*",AE16="*",AF16="*")),1,IF(AND(AF15="*",OR(AD16="*",AE16="*",AF16="*")),1,"")))</f>
        <v/>
      </c>
      <c r="AM15" s="41" t="str">
        <f>IF(AND(AC15="*",AC16="*"),1,"")</f>
        <v/>
      </c>
      <c r="AO15" s="41"/>
      <c r="AP15" s="41"/>
      <c r="AQ15" s="41"/>
      <c r="AR15" s="41"/>
      <c r="AS15" s="41"/>
      <c r="AT15" s="41" t="str">
        <f>IF(AND(AO15="*",OR(AP16="*",AQ16="*",AR16="*")), 1,"")</f>
        <v/>
      </c>
      <c r="AU15" s="41" t="str">
        <f>IF(AND(AO15="*",AS16="*"),1,"")</f>
        <v/>
      </c>
      <c r="AV15" s="41" t="str">
        <f>IF(AND(AS16="*", OR(AP15="*", AQ15="*",AR15="*")),1,"")</f>
        <v/>
      </c>
      <c r="AW15" s="41" t="str">
        <f>IF(AND(AO16="*",OR(AP15="*",AQ15="*",AR15="*",AS15="*")),1,IF(AND(AS15="*",OR(AO16="*",AP16="*",AQ16="*",AR16="*")),1,""))</f>
        <v/>
      </c>
      <c r="AX15" s="41" t="str">
        <f>IF(AND(AP15="*",OR(AP16="*",AQ16="*",AR16="*")),1,IF(AND(AQ15="*",OR(AP16="*",AQ16="*",AR16="*")),1,IF(AND(AR15="*",OR(AP16="*",AQ16="*",AR16="*")),1,"")))</f>
        <v/>
      </c>
      <c r="AY15" s="41" t="str">
        <f>IF(AND(AO15="*",AO16="*"),1,"")</f>
        <v/>
      </c>
      <c r="BA15" s="41"/>
      <c r="BB15" s="41"/>
      <c r="BC15" s="41"/>
      <c r="BD15" s="41"/>
      <c r="BE15" s="41"/>
      <c r="BF15" s="41" t="str">
        <f>IF(AND(BA15="*",OR(BB16="*",BC16="*",BD16="*")), 1,"")</f>
        <v/>
      </c>
      <c r="BG15" s="41" t="str">
        <f>IF(AND(BA15="*",BE16="*"),1,"")</f>
        <v/>
      </c>
      <c r="BH15" s="41" t="str">
        <f>IF(AND(BE16="*", OR(BB15="*", BC15="*",BD15="*")),1,"")</f>
        <v/>
      </c>
      <c r="BI15" s="41" t="str">
        <f>IF(AND(BA16="*",OR(BB15="*",BC15="*",BD15="*",BE15="*")),1,IF(AND(BE15="*",OR(BA16="*",BB16="*",BC16="*",BD16="*")),1,""))</f>
        <v/>
      </c>
      <c r="BJ15" s="41" t="str">
        <f>IF(AND(BB15="*",OR(BB16="*",BC16="*",BD16="*")),1,IF(AND(BC15="*",OR(BB16="*",BC16="*",BD16="*")),1,IF(AND(BD15="*",OR(BB16="*",BC16="*",BD16="*")),1,"")))</f>
        <v/>
      </c>
      <c r="BK15" s="41" t="str">
        <f>IF(AND(BA15="*",BA16="*"),1,"")</f>
        <v/>
      </c>
      <c r="BM15" s="41"/>
      <c r="BN15" s="41"/>
      <c r="BO15" s="41"/>
      <c r="BP15" s="41"/>
      <c r="BQ15" s="41"/>
      <c r="BR15" s="41"/>
      <c r="BS15" s="41" t="str">
        <f>IF(AND(BM15="*",OR(BN16="*",BO16="*",BP16="*")), 1,"")</f>
        <v/>
      </c>
      <c r="BT15" s="41" t="str">
        <f>IF(AND(BM15="*",BQ16="*"),1,"")</f>
        <v/>
      </c>
      <c r="BU15" s="41" t="str">
        <f>IF(AND(BQ16="*", OR(BN15="*", BO15="*",BP15="*")),1,"")</f>
        <v/>
      </c>
      <c r="BV15" s="41" t="str">
        <f>IF(AND(BM16="*",OR(BN15="*",BO15="*",BP15="*",BQ15="*")),1,IF(AND(BQ15="*",OR(BM16="*",BN16="*",BO16="*",BP16="*")),1,""))</f>
        <v/>
      </c>
      <c r="BW15" s="41" t="str">
        <f>IF(AND(BN15="*",OR(BN16="*",BO16="*",BP16="*")),1,IF(AND(BO15="*",OR(BN16="*",BO16="*",BP16="*")),1,IF(AND(BP15="*",OR(BN16="*",BO16="*",BP16="*")),1,"")))</f>
        <v/>
      </c>
      <c r="BX15" s="41" t="str">
        <f>IF(AND(BM15="*",BM16="*"),1,"")</f>
        <v/>
      </c>
      <c r="BZ15" s="41"/>
      <c r="CA15" s="41"/>
      <c r="CB15" s="41"/>
      <c r="CC15" s="41"/>
      <c r="CD15" s="41"/>
      <c r="CE15" s="41" t="str">
        <f>IF(AND(BZ15="*",OR(CA16="*",CB16="*",CC16="*")), 1,"")</f>
        <v/>
      </c>
      <c r="CF15" s="41" t="str">
        <f>IF(AND(BZ15="*",CD16="*"),1,"")</f>
        <v/>
      </c>
      <c r="CG15" s="41" t="str">
        <f>IF(AND(CD16="*", OR(CA15="*", CB15="*",CC15="*")),1,"")</f>
        <v/>
      </c>
      <c r="CH15" s="41" t="str">
        <f>IF(AND(BZ16="*",OR(CA15="*",CB15="*",CC15="*",CD15="*")),1,IF(AND(CD15="*",OR(BZ16="*",CA16="*",CB16="*",CC16="*")),1,""))</f>
        <v/>
      </c>
      <c r="CI15" s="41" t="str">
        <f>IF(AND(CA15="*",OR(CA16="*",CB16="*",CC16="*")),1,IF(AND(CB15="*",OR(CA16="*",CB16="*",CC16="*")),1,IF(AND(CC15="*",OR(CA16="*",CB16="*",CC16="*")),1,"")))</f>
        <v/>
      </c>
      <c r="CJ15" s="41" t="str">
        <f>IF(AND(BZ15="*",BZ16="*"),1,"")</f>
        <v/>
      </c>
      <c r="CL15" s="41"/>
      <c r="CM15" s="41"/>
      <c r="CN15" s="41"/>
      <c r="CO15" s="41"/>
      <c r="CP15" s="41"/>
      <c r="CQ15" s="41" t="str">
        <f>IF(AND(CL15="*",OR(CM16="*",CN16="*",CO16="*")), 1,"")</f>
        <v/>
      </c>
      <c r="CR15" s="41" t="str">
        <f>IF(AND(CL15="*",CP16="*"),1,"")</f>
        <v/>
      </c>
      <c r="CS15" s="41" t="str">
        <f>IF(AND(CP16="*", OR(CM15="*", CN15="*",CO15="*")),1,"")</f>
        <v/>
      </c>
      <c r="CT15" s="41" t="str">
        <f>IF(AND(CL16="*",OR(CM15="*",CN15="*",CO15="*",CP15="*")),1,IF(AND(CP15="*",OR(CL16="*",CM16="*",CN16="*",CO16="*")),1,""))</f>
        <v/>
      </c>
      <c r="CU15" s="41" t="str">
        <f>IF(AND(CM15="*",OR(CM16="*",CN16="*",CO16="*")),1,IF(AND(CN15="*",OR(CM16="*",CN16="*",CO16="*")),1,IF(AND(CO15="*",OR(CM16="*",CN16="*",CO16="*")),1,"")))</f>
        <v/>
      </c>
      <c r="CV15" s="41" t="str">
        <f>IF(AND(CL15="*",CL16="*"),1,"")</f>
        <v/>
      </c>
      <c r="CX15" s="41"/>
      <c r="CY15" s="41"/>
      <c r="CZ15" s="41"/>
      <c r="DA15" s="41"/>
      <c r="DB15" s="41"/>
      <c r="DC15" s="41" t="str">
        <f>IF(AND(CX15="*",OR(CY16="*",CZ16="*",DA16="*")), 1,"")</f>
        <v/>
      </c>
      <c r="DD15" s="41" t="str">
        <f>IF(AND(CX15="*",DB16="*"),1,"")</f>
        <v/>
      </c>
      <c r="DE15" s="41" t="str">
        <f>IF(AND(DB16="*", OR(CY15="*", CZ15="*",DA15="*")),1,"")</f>
        <v/>
      </c>
      <c r="DF15" s="41" t="str">
        <f>IF(AND(CX16="*",OR(CY15="*",CZ15="*",DA15="*",DB15="*")),1,IF(AND(DB15="*",OR(CX16="*",CY16="*",CZ16="*",DA16="*")),1,""))</f>
        <v/>
      </c>
      <c r="DG15" s="41" t="str">
        <f>IF(AND(CY15="*",OR(CY16="*",CZ16="*",DA16="*")),1,IF(AND(CZ15="*",OR(CY16="*",CZ16="*",DA16="*")),1,IF(AND(DA15="*",OR(CY16="*",CZ16="*",DA16="*")),1,"")))</f>
        <v/>
      </c>
      <c r="DH15" s="41" t="str">
        <f>IF(AND(CX15="*",CX16="*"),1,"")</f>
        <v/>
      </c>
      <c r="DJ15" s="41"/>
      <c r="DK15" s="41"/>
      <c r="DL15" s="41"/>
      <c r="DM15" s="41"/>
      <c r="DN15" s="41"/>
      <c r="DO15" s="41" t="str">
        <f>IF(AND(DJ15="*",OR(DK16="*",DL16="*",DM16="*")), 1,"")</f>
        <v/>
      </c>
      <c r="DP15" s="41" t="str">
        <f>IF(AND(DJ15="*",DN16="*"),1,"")</f>
        <v/>
      </c>
      <c r="DQ15" s="41" t="str">
        <f>IF(AND(DN16="*", OR(DK15="*", DL15="*",DM15="*")),1,"")</f>
        <v/>
      </c>
      <c r="DR15" s="41" t="str">
        <f>IF(AND(DJ16="*",OR(DK15="*",DL15="*",DM15="*",DN15="*")),1,IF(AND(DN15="*",OR(DJ16="*",DK16="*",DL16="*",DM16="*")),1,""))</f>
        <v/>
      </c>
      <c r="DS15" s="41" t="str">
        <f>IF(AND(DK15="*",OR(DK16="*",DL16="*",DM16="*")),1,IF(AND(DL15="*",OR(DK16="*",DL16="*",DM16="*")),1,IF(AND(DM15="*",OR(DK16="*",DL16="*",DM16="*")),1,"")))</f>
        <v/>
      </c>
      <c r="DT15" s="41" t="str">
        <f>IF(AND(DJ15="*",DJ16="*"),1,"")</f>
        <v/>
      </c>
      <c r="DV15" s="41"/>
      <c r="DW15" s="41"/>
      <c r="DX15" s="41"/>
      <c r="DY15" s="41"/>
      <c r="DZ15" s="41"/>
      <c r="EA15" s="41" t="str">
        <f>IF(AND(DV15="*",OR(DW16="*",DX16="*",DY16="*")), 1,"")</f>
        <v/>
      </c>
      <c r="EB15" s="41" t="str">
        <f>IF(AND(DV15="*",DZ16="*"),1,"")</f>
        <v/>
      </c>
      <c r="EC15" s="41" t="str">
        <f>IF(AND(DZ16="*", OR(DW15="*", DX15="*",DY15="*")),1,"")</f>
        <v/>
      </c>
      <c r="ED15" s="41" t="str">
        <f>IF(AND(DV16="*",OR(DW15="*",DX15="*",DY15="*",DZ15="*")),1,IF(AND(DZ15="*",OR(DV16="*",DW16="*",DX16="*",DY16="*")),1,""))</f>
        <v/>
      </c>
      <c r="EE15" s="41" t="str">
        <f>IF(AND(DW15="*",OR(DW16="*",DX16="*",DY16="*")),1,IF(AND(DX15="*",OR(DW16="*",DX16="*",DY16="*")),1,IF(AND(DY15="*",OR(DW16="*",DX16="*",DY16="*")),1,"")))</f>
        <v/>
      </c>
      <c r="EF15" s="41" t="str">
        <f>IF(AND(DV15="*",DV16="*"),1,"")</f>
        <v/>
      </c>
      <c r="EH15" s="41"/>
      <c r="EI15" s="41"/>
      <c r="EJ15" s="41"/>
      <c r="EK15" s="41"/>
      <c r="EL15" s="41"/>
      <c r="EM15" s="41" t="str">
        <f>IF(AND(EH15="*",OR(EI16="*",EJ16="*",EK16="*")), 1,"")</f>
        <v/>
      </c>
      <c r="EN15" s="41" t="str">
        <f>IF(AND(EH15="*",EL16="*"),1,"")</f>
        <v/>
      </c>
      <c r="EO15" s="41" t="str">
        <f>IF(AND(EL16="*", OR(EI15="*", EJ15="*",EK15="*")),1,"")</f>
        <v/>
      </c>
      <c r="EP15" s="41" t="str">
        <f>IF(AND(EH16="*",OR(EI15="*",EJ15="*",EK15="*",EL15="*")),1,IF(AND(EL15="*",OR(EH16="*",EI16="*",EJ16="*",EK16="*")),1,""))</f>
        <v/>
      </c>
      <c r="EQ15" s="41" t="str">
        <f>IF(AND(EI15="*",OR(EI16="*",EJ16="*",EK16="*")),1,IF(AND(EJ15="*",OR(EI16="*",EJ16="*",EK16="*")),1,IF(AND(EK15="*",OR(EI16="*",EJ16="*",EK16="*")),1,"")))</f>
        <v/>
      </c>
      <c r="ER15" s="41" t="str">
        <f>IF(AND(EH15="*",EH16="*"),1,"")</f>
        <v/>
      </c>
      <c r="ET15" s="41"/>
      <c r="EU15" s="41"/>
      <c r="EV15" s="41"/>
      <c r="EW15" s="41"/>
      <c r="EX15" s="41"/>
      <c r="EY15" s="41" t="str">
        <f>IF(AND(ET15="*",OR(EU16="*",EV16="*",EW16="*")), 1,"")</f>
        <v/>
      </c>
      <c r="EZ15" s="41" t="str">
        <f>IF(AND(ET15="*",EX16="*"),1,"")</f>
        <v/>
      </c>
      <c r="FA15" s="41" t="str">
        <f>IF(AND(EX16="*", OR(EU15="*", EV15="*",EW15="*")),1,"")</f>
        <v/>
      </c>
      <c r="FB15" s="41" t="str">
        <f>IF(AND(ET16="*",OR(EU15="*",EV15="*",EW15="*",EX15="*")),1,IF(AND(EX15="*",OR(ET16="*",EU16="*",EV16="*",EW16="*")),1,""))</f>
        <v/>
      </c>
      <c r="FC15" s="41" t="str">
        <f>IF(AND(EU15="*",OR(EU16="*",EV16="*",EW16="*")),1,IF(AND(EV15="*",OR(EU16="*",EV16="*",EW16="*")),1,IF(AND(EW15="*",OR(EU16="*",EV16="*",EW16="*")),1,"")))</f>
        <v/>
      </c>
      <c r="FD15" s="41" t="str">
        <f>IF(AND(ET15="*",ET16="*"),1,"")</f>
        <v/>
      </c>
      <c r="FF15" s="41"/>
      <c r="FG15" s="41"/>
      <c r="FH15" s="41"/>
      <c r="FI15" s="41"/>
      <c r="FJ15" s="41"/>
      <c r="FK15" s="41" t="str">
        <f>IF(AND(FF15="*",OR(FG16="*",FH16="*",FI16="*")), 1,"")</f>
        <v/>
      </c>
      <c r="FL15" s="41" t="str">
        <f>IF(AND(FF15="*",FJ16="*"),1,"")</f>
        <v/>
      </c>
      <c r="FM15" s="41" t="str">
        <f>IF(AND(FJ16="*", OR(FG15="*", FH15="*",FI15="*")),1,"")</f>
        <v/>
      </c>
      <c r="FN15" s="41" t="str">
        <f>IF(AND(FF16="*",OR(FG15="*",FH15="*",FI15="*",FJ15="*")),1,IF(AND(FJ15="*",OR(FF16="*",FG16="*",FH16="*",FI16="*")),1,""))</f>
        <v/>
      </c>
      <c r="FO15" s="41" t="str">
        <f>IF(AND(FG15="*",OR(FG16="*",FH16="*",FI16="*")),1,IF(AND(FH15="*",OR(FG16="*",FH16="*",FI16="*")),1,IF(AND(FI15="*",OR(FG16="*",FH16="*",FI16="*")),1,"")))</f>
        <v/>
      </c>
      <c r="FP15" s="41" t="str">
        <f>IF(AND(FF15="*",FF16="*"),1,"")</f>
        <v/>
      </c>
      <c r="FR15" s="41"/>
      <c r="FS15" s="41"/>
      <c r="FT15" s="41"/>
      <c r="FU15" s="41"/>
      <c r="FV15" s="41"/>
      <c r="FW15" s="41" t="str">
        <f>IF(AND(FR15="*",OR(FS16="*",FT16="*",FU16="*")), 1,"")</f>
        <v/>
      </c>
      <c r="FX15" s="41" t="str">
        <f>IF(AND(FR15="*",FV16="*"),1,"")</f>
        <v/>
      </c>
      <c r="FY15" s="41" t="str">
        <f>IF(AND(FV16="*", OR(FS15="*", FT15="*",FU15="*")),1,"")</f>
        <v/>
      </c>
      <c r="FZ15" s="41" t="str">
        <f>IF(AND(FR16="*",OR(FS15="*",FT15="*",FU15="*",FV15="*")),1,IF(AND(FV15="*",OR(FR16="*",FS16="*",FT16="*",FU16="*")),1,""))</f>
        <v/>
      </c>
      <c r="GA15" s="41" t="str">
        <f>IF(AND(FS15="*",OR(FS16="*",FT16="*",FU16="*")),1,IF(AND(FT15="*",OR(FS16="*",FT16="*",FU16="*")),1,IF(AND(FU15="*",OR(FS16="*",FT16="*",FU16="*")),1,"")))</f>
        <v/>
      </c>
      <c r="GB15" s="41" t="str">
        <f>IF(AND(FR15="*",FR16="*"),1,"")</f>
        <v/>
      </c>
      <c r="GD15" s="41"/>
      <c r="GE15" s="41"/>
      <c r="GF15" s="41"/>
      <c r="GG15" s="41"/>
      <c r="GH15" s="41"/>
      <c r="GI15" s="41"/>
      <c r="GJ15" s="41" t="str">
        <f>IF(AND(GD15="*",OR(GE16="*",GF16="*",GG16="*")), 1,"")</f>
        <v/>
      </c>
      <c r="GK15" s="41" t="str">
        <f>IF(AND(GD15="*",GH16="*"),1,"")</f>
        <v/>
      </c>
      <c r="GL15" s="41" t="str">
        <f>IF(AND(GH16="*", OR(GE15="*", GF15="*",GG15="*")),1,"")</f>
        <v/>
      </c>
      <c r="GM15" s="41" t="str">
        <f>IF(AND(GD16="*",OR(GE15="*",GF15="*",GG15="*",GH15="*")),1,IF(AND(GH15="*",OR(GD16="*",GE16="*",GF16="*",GG16="*")),1,""))</f>
        <v/>
      </c>
      <c r="GN15" s="41" t="str">
        <f>IF(AND(GE15="*",OR(GE16="*",GF16="*",GG16="*")),1,IF(AND(GF15="*",OR(GE16="*",GF16="*",GG16="*")),1,IF(AND(GG15="*",OR(GE16="*",GF16="*",GG16="*")),1,"")))</f>
        <v/>
      </c>
      <c r="GO15" s="41" t="str">
        <f>IF(AND(GD15="*",GD16="*"),1,"")</f>
        <v/>
      </c>
      <c r="GQ15" s="41"/>
      <c r="GR15" s="41"/>
      <c r="GS15" s="41"/>
      <c r="GT15" s="41"/>
      <c r="GU15" s="41"/>
      <c r="GV15" s="41" t="str">
        <f>IF(AND(GQ15="*",OR(GR16="*",GS16="*",GT16="*")), 1,"")</f>
        <v/>
      </c>
      <c r="GW15" s="41" t="str">
        <f>IF(AND(GQ15="*",GU16="*"),1,"")</f>
        <v/>
      </c>
      <c r="GX15" s="41" t="str">
        <f>IF(AND(GU16="*", OR(GR15="*", GS15="*",GT15="*")),1,"")</f>
        <v/>
      </c>
      <c r="GY15" s="41" t="str">
        <f>IF(AND(GQ16="*",OR(GR15="*",GS15="*",GT15="*",GU15="*")),1,IF(AND(GU15="*",OR(GQ16="*",GR16="*",GS16="*",GT16="*")),1,""))</f>
        <v/>
      </c>
      <c r="GZ15" s="41" t="str">
        <f>IF(AND(GR15="*",OR(GR16="*",GS16="*",GT16="*")),1,IF(AND(GS15="*",OR(GR16="*",GS16="*",GT16="*")),1,IF(AND(GT15="*",OR(GR16="*",GS16="*",GT16="*")),1,"")))</f>
        <v/>
      </c>
      <c r="HA15" s="41" t="str">
        <f>IF(AND(GQ15="*",GQ16="*"),1,"")</f>
        <v/>
      </c>
      <c r="HC15" s="41"/>
      <c r="HD15" s="41"/>
      <c r="HE15" s="41"/>
      <c r="HF15" s="41"/>
      <c r="HG15" s="41"/>
      <c r="HH15" s="41" t="str">
        <f>IF(AND(HC15="*",OR(HD16="*",HE16="*",HF16="*")), 1,"")</f>
        <v/>
      </c>
      <c r="HI15" s="41" t="str">
        <f>IF(AND(HC15="*",HG16="*"),1,"")</f>
        <v/>
      </c>
      <c r="HJ15" s="41" t="str">
        <f>IF(AND(HG16="*", OR(HD15="*", HE15="*",HF15="*")),1,"")</f>
        <v/>
      </c>
      <c r="HK15" s="41" t="str">
        <f>IF(AND(HC16="*",OR(HD15="*",HE15="*",HF15="*",HG15="*")),1,IF(AND(HG15="*",OR(HC16="*",HD16="*",HE16="*",HF16="*")),1,""))</f>
        <v/>
      </c>
      <c r="HL15" s="41" t="str">
        <f>IF(AND(HD15="*",OR(HD16="*",HE16="*",HF16="*")),1,IF(AND(HE15="*",OR(HD16="*",HE16="*",HF16="*")),1,IF(AND(HF15="*",OR(HD16="*",HE16="*",HF16="*")),1,"")))</f>
        <v/>
      </c>
      <c r="HM15" s="41" t="str">
        <f>IF(AND(HC15="*",HC16="*"),1,"")</f>
        <v/>
      </c>
      <c r="HO15" s="41"/>
      <c r="HP15" s="41"/>
      <c r="HQ15" s="41"/>
      <c r="HR15" s="41"/>
      <c r="HS15" s="41"/>
      <c r="HT15" s="41" t="str">
        <f>IF(AND(HO15="*",OR(HP16="*",HQ16="*",HR16="*")), 1,"")</f>
        <v/>
      </c>
      <c r="HU15" s="41" t="str">
        <f>IF(AND(HO15="*",HS16="*"),1,"")</f>
        <v/>
      </c>
      <c r="HV15" s="41" t="str">
        <f>IF(AND(HS16="*", OR(HP15="*", HQ15="*",HR15="*")),1,"")</f>
        <v/>
      </c>
      <c r="HW15" s="41" t="str">
        <f>IF(AND(HO16="*",OR(HP15="*",HQ15="*",HR15="*",HS15="*")),1,IF(AND(HS15="*",OR(HO16="*",HP16="*",HQ16="*",HR16="*")),1,""))</f>
        <v/>
      </c>
      <c r="HX15" s="41" t="str">
        <f>IF(AND(HP15="*",OR(HP16="*",HQ16="*",HR16="*")),1,IF(AND(HQ15="*",OR(HP16="*",HQ16="*",HR16="*")),1,IF(AND(HR15="*",OR(HP16="*",HQ16="*",HR16="*")),1,"")))</f>
        <v/>
      </c>
      <c r="HY15" s="41" t="str">
        <f>IF(AND(HO15="*",HO16="*"),1,"")</f>
        <v/>
      </c>
      <c r="IA15" s="41"/>
      <c r="IB15" s="41"/>
      <c r="IC15" s="41"/>
      <c r="ID15" s="41"/>
      <c r="IE15" s="41"/>
      <c r="IF15" s="41" t="str">
        <f>IF(AND(IA15="*",OR(IB16="*",IC16="*",ID16="*")), 1,"")</f>
        <v/>
      </c>
      <c r="IG15" s="41" t="str">
        <f>IF(AND(IA15="*",IE16="*"),1,"")</f>
        <v/>
      </c>
      <c r="IH15" s="41" t="str">
        <f>IF(AND(IE16="*", OR(IB15="*", IC15="*",ID15="*")),1,"")</f>
        <v/>
      </c>
      <c r="II15" s="41" t="str">
        <f>IF(AND(IA16="*",OR(IB15="*",IC15="*",ID15="*",IE15="*")),1,IF(AND(IE15="*",OR(IA16="*",IB16="*",IC16="*",ID16="*")),1,""))</f>
        <v/>
      </c>
      <c r="IJ15" s="41" t="str">
        <f>IF(AND(IB15="*",OR(IB16="*",IC16="*",ID16="*")),1,IF(AND(IC15="*",OR(IB16="*",IC16="*",ID16="*")),1,IF(AND(ID15="*",OR(IB16="*",IC16="*",ID16="*")),1,"")))</f>
        <v/>
      </c>
      <c r="IK15" s="41" t="str">
        <f>IF(AND(IA15="*",IA16="*"),1,"")</f>
        <v/>
      </c>
      <c r="IL15" s="41">
        <f>COUNT(J15,V15,AH15,AT15,BF15,BS15,CE15,CQ15,DC15,DO15,EA15,EM15,EY15,FK15,FW15,GJ15,GV15,HH15,HT15,IF15)</f>
        <v>0</v>
      </c>
      <c r="IM15" s="41">
        <f t="shared" ref="IM15:IQ15" si="6">COUNT(K15,W15,AI15,AU15,BG15,BT15,CF15,CR15,DD15,DP15,EB15,EN15,EZ15,FL15,FX15,GK15,GW15,HI15,HU15,IG15)</f>
        <v>0</v>
      </c>
      <c r="IN15" s="41">
        <f t="shared" si="6"/>
        <v>0</v>
      </c>
      <c r="IO15" s="41">
        <f t="shared" si="6"/>
        <v>0</v>
      </c>
      <c r="IP15" s="41">
        <f t="shared" si="6"/>
        <v>0</v>
      </c>
      <c r="IQ15" s="41">
        <f t="shared" si="6"/>
        <v>0</v>
      </c>
    </row>
    <row r="16" spans="2:251" ht="15" customHeight="1" x14ac:dyDescent="0.4">
      <c r="B16" s="277"/>
      <c r="C16" s="279"/>
      <c r="D16" s="42" t="s">
        <v>59</v>
      </c>
      <c r="E16" s="41"/>
      <c r="F16" s="41"/>
      <c r="G16" s="41"/>
      <c r="H16" s="41"/>
      <c r="I16" s="41"/>
      <c r="J16" s="43"/>
      <c r="K16" s="43"/>
      <c r="L16" s="43"/>
      <c r="M16" s="43"/>
      <c r="N16" s="43"/>
      <c r="O16" s="43"/>
      <c r="Q16" s="41"/>
      <c r="R16" s="41"/>
      <c r="S16" s="41"/>
      <c r="T16" s="41"/>
      <c r="U16" s="41"/>
      <c r="V16" s="43"/>
      <c r="W16" s="43"/>
      <c r="X16" s="43"/>
      <c r="Y16" s="43"/>
      <c r="Z16" s="43"/>
      <c r="AA16" s="43"/>
      <c r="AC16" s="41"/>
      <c r="AD16" s="41"/>
      <c r="AE16" s="41"/>
      <c r="AF16" s="41"/>
      <c r="AG16" s="41"/>
      <c r="AH16" s="43"/>
      <c r="AI16" s="43"/>
      <c r="AJ16" s="43"/>
      <c r="AK16" s="43"/>
      <c r="AL16" s="43"/>
      <c r="AM16" s="43"/>
      <c r="AO16" s="41"/>
      <c r="AP16" s="41"/>
      <c r="AQ16" s="41"/>
      <c r="AR16" s="41"/>
      <c r="AS16" s="41"/>
      <c r="AT16" s="43"/>
      <c r="AU16" s="43"/>
      <c r="AV16" s="43"/>
      <c r="AW16" s="43"/>
      <c r="AX16" s="43"/>
      <c r="AY16" s="43"/>
      <c r="BA16" s="41"/>
      <c r="BB16" s="41"/>
      <c r="BC16" s="41"/>
      <c r="BD16" s="41"/>
      <c r="BE16" s="41"/>
      <c r="BF16" s="43"/>
      <c r="BG16" s="43"/>
      <c r="BH16" s="43"/>
      <c r="BI16" s="43"/>
      <c r="BJ16" s="43"/>
      <c r="BK16" s="43"/>
      <c r="BM16" s="41"/>
      <c r="BN16" s="41"/>
      <c r="BO16" s="41"/>
      <c r="BP16" s="41"/>
      <c r="BQ16" s="41"/>
      <c r="BR16" s="41"/>
      <c r="BS16" s="43"/>
      <c r="BT16" s="43"/>
      <c r="BU16" s="43"/>
      <c r="BV16" s="43"/>
      <c r="BW16" s="43"/>
      <c r="BX16" s="43"/>
      <c r="BZ16" s="41"/>
      <c r="CA16" s="41"/>
      <c r="CB16" s="41"/>
      <c r="CC16" s="41"/>
      <c r="CD16" s="41"/>
      <c r="CE16" s="43"/>
      <c r="CF16" s="43"/>
      <c r="CG16" s="43"/>
      <c r="CH16" s="43"/>
      <c r="CI16" s="43"/>
      <c r="CJ16" s="43"/>
      <c r="CL16" s="41"/>
      <c r="CM16" s="41"/>
      <c r="CN16" s="41"/>
      <c r="CO16" s="41"/>
      <c r="CP16" s="41"/>
      <c r="CQ16" s="43"/>
      <c r="CR16" s="43"/>
      <c r="CS16" s="43"/>
      <c r="CT16" s="43"/>
      <c r="CU16" s="43"/>
      <c r="CV16" s="43"/>
      <c r="CX16" s="41"/>
      <c r="CY16" s="41"/>
      <c r="CZ16" s="41"/>
      <c r="DA16" s="41"/>
      <c r="DB16" s="41"/>
      <c r="DC16" s="43"/>
      <c r="DD16" s="43"/>
      <c r="DE16" s="43"/>
      <c r="DF16" s="43"/>
      <c r="DG16" s="43"/>
      <c r="DH16" s="43"/>
      <c r="DJ16" s="41"/>
      <c r="DK16" s="41"/>
      <c r="DL16" s="41"/>
      <c r="DM16" s="41"/>
      <c r="DN16" s="41"/>
      <c r="DO16" s="43"/>
      <c r="DP16" s="43"/>
      <c r="DQ16" s="43"/>
      <c r="DR16" s="43"/>
      <c r="DS16" s="43"/>
      <c r="DT16" s="43"/>
      <c r="DV16" s="41"/>
      <c r="DW16" s="41"/>
      <c r="DX16" s="41"/>
      <c r="DY16" s="41"/>
      <c r="DZ16" s="41"/>
      <c r="EA16" s="43"/>
      <c r="EB16" s="43"/>
      <c r="EC16" s="43"/>
      <c r="ED16" s="43"/>
      <c r="EE16" s="43"/>
      <c r="EF16" s="43"/>
      <c r="EH16" s="41"/>
      <c r="EI16" s="41"/>
      <c r="EJ16" s="41"/>
      <c r="EK16" s="41"/>
      <c r="EL16" s="41"/>
      <c r="EM16" s="43"/>
      <c r="EN16" s="43"/>
      <c r="EO16" s="43"/>
      <c r="EP16" s="43"/>
      <c r="EQ16" s="43"/>
      <c r="ER16" s="43"/>
      <c r="ET16" s="41"/>
      <c r="EU16" s="41"/>
      <c r="EV16" s="41"/>
      <c r="EW16" s="41"/>
      <c r="EX16" s="41"/>
      <c r="EY16" s="43"/>
      <c r="EZ16" s="43"/>
      <c r="FA16" s="43"/>
      <c r="FB16" s="43"/>
      <c r="FC16" s="43"/>
      <c r="FD16" s="43"/>
      <c r="FF16" s="41"/>
      <c r="FG16" s="41"/>
      <c r="FH16" s="41"/>
      <c r="FI16" s="41"/>
      <c r="FJ16" s="41"/>
      <c r="FK16" s="43"/>
      <c r="FL16" s="43"/>
      <c r="FM16" s="43"/>
      <c r="FN16" s="43"/>
      <c r="FO16" s="43"/>
      <c r="FP16" s="43"/>
      <c r="FR16" s="41"/>
      <c r="FS16" s="41"/>
      <c r="FT16" s="41"/>
      <c r="FU16" s="41"/>
      <c r="FV16" s="41"/>
      <c r="FW16" s="43"/>
      <c r="FX16" s="43"/>
      <c r="FY16" s="43"/>
      <c r="FZ16" s="43"/>
      <c r="GA16" s="43"/>
      <c r="GB16" s="43"/>
      <c r="GD16" s="41"/>
      <c r="GE16" s="41"/>
      <c r="GF16" s="41"/>
      <c r="GG16" s="41"/>
      <c r="GH16" s="41"/>
      <c r="GI16" s="41"/>
      <c r="GJ16" s="43"/>
      <c r="GK16" s="43"/>
      <c r="GL16" s="43"/>
      <c r="GM16" s="43"/>
      <c r="GN16" s="43"/>
      <c r="GO16" s="43"/>
      <c r="GQ16" s="41"/>
      <c r="GR16" s="41"/>
      <c r="GS16" s="41"/>
      <c r="GT16" s="41"/>
      <c r="GU16" s="41"/>
      <c r="GV16" s="43"/>
      <c r="GW16" s="43"/>
      <c r="GX16" s="43"/>
      <c r="GY16" s="43"/>
      <c r="GZ16" s="43"/>
      <c r="HA16" s="43"/>
      <c r="HC16" s="41"/>
      <c r="HD16" s="41"/>
      <c r="HE16" s="41"/>
      <c r="HF16" s="41"/>
      <c r="HG16" s="41"/>
      <c r="HH16" s="43"/>
      <c r="HI16" s="43"/>
      <c r="HJ16" s="43"/>
      <c r="HK16" s="43"/>
      <c r="HL16" s="43"/>
      <c r="HM16" s="43"/>
      <c r="HO16" s="41"/>
      <c r="HP16" s="41"/>
      <c r="HQ16" s="41"/>
      <c r="HR16" s="41"/>
      <c r="HS16" s="41"/>
      <c r="HT16" s="43"/>
      <c r="HU16" s="43"/>
      <c r="HV16" s="43"/>
      <c r="HW16" s="43"/>
      <c r="HX16" s="43"/>
      <c r="HY16" s="43"/>
      <c r="IA16" s="41"/>
      <c r="IB16" s="41"/>
      <c r="IC16" s="41"/>
      <c r="ID16" s="41"/>
      <c r="IE16" s="41"/>
      <c r="IF16" s="43"/>
      <c r="IG16" s="43"/>
      <c r="IH16" s="43"/>
      <c r="II16" s="43"/>
      <c r="IJ16" s="43"/>
      <c r="IK16" s="43"/>
    </row>
    <row r="17" spans="2:251" ht="15" customHeight="1" x14ac:dyDescent="0.4">
      <c r="B17" s="273">
        <v>8</v>
      </c>
      <c r="C17" s="274">
        <f>고객요구사항도출표!C12</f>
        <v>0</v>
      </c>
      <c r="D17" s="40" t="s">
        <v>60</v>
      </c>
      <c r="E17" s="44"/>
      <c r="F17" s="44"/>
      <c r="G17" s="44"/>
      <c r="H17" s="44"/>
      <c r="I17" s="44"/>
      <c r="J17" s="44" t="str">
        <f>IF(AND(E17="*",OR(F18="*",G18="*",H18="*")), 1,"")</f>
        <v/>
      </c>
      <c r="K17" s="44" t="str">
        <f>IF(AND(E17="*",I18="*"),1,"")</f>
        <v/>
      </c>
      <c r="L17" s="44" t="str">
        <f>IF(AND(I18="*", OR(F17="*", G17="*",H17="*")),1,"")</f>
        <v/>
      </c>
      <c r="M17" s="44" t="str">
        <f>IF(AND(E18="*",OR(F17="*",G17="*",H17="*",I17="*")),1,IF(AND(I17="*",OR(E18="*",F18="*",G18="*",H18="*")),1,""))</f>
        <v/>
      </c>
      <c r="N17" s="44" t="str">
        <f>IF(AND(F17="*",OR(F18="*",G18="*",H18="*")),1,IF(AND(G17="*",OR(F18="*",G18="*",H18="*")),1,IF(AND(H17="*",OR(F18="*",G18="*",H18="*")),1,"")))</f>
        <v/>
      </c>
      <c r="O17" s="44" t="str">
        <f>IF(AND(E17="*",E18="*"),1,"")</f>
        <v/>
      </c>
      <c r="Q17" s="44"/>
      <c r="R17" s="44"/>
      <c r="S17" s="44"/>
      <c r="T17" s="44"/>
      <c r="U17" s="44"/>
      <c r="V17" s="44" t="str">
        <f>IF(AND(Q17="*",OR(R18="*",S18="*",T18="*")), 1,"")</f>
        <v/>
      </c>
      <c r="W17" s="44" t="str">
        <f>IF(AND(Q17="*",U18="*"),1,"")</f>
        <v/>
      </c>
      <c r="X17" s="44" t="str">
        <f>IF(AND(U18="*", OR(R17="*", S17="*",T17="*")),1,"")</f>
        <v/>
      </c>
      <c r="Y17" s="44" t="str">
        <f>IF(AND(Q18="*",OR(R17="*",S17="*",T17="*",U17="*")),1,IF(AND(U17="*",OR(Q18="*",R18="*",S18="*",T18="*")),1,""))</f>
        <v/>
      </c>
      <c r="Z17" s="44" t="str">
        <f>IF(AND(R17="*",OR(R18="*",S18="*",T18="*")),1,IF(AND(S17="*",OR(R18="*",S18="*",T18="*")),1,IF(AND(T17="*",OR(R18="*",S18="*",T18="*")),1,"")))</f>
        <v/>
      </c>
      <c r="AA17" s="44" t="str">
        <f>IF(AND(Q17="*",Q18="*"),1,"")</f>
        <v/>
      </c>
      <c r="AC17" s="44"/>
      <c r="AD17" s="44"/>
      <c r="AE17" s="44"/>
      <c r="AF17" s="44"/>
      <c r="AG17" s="44"/>
      <c r="AH17" s="44" t="str">
        <f>IF(AND(AC17="*",OR(AD18="*",AE18="*",AF18="*")), 1,"")</f>
        <v/>
      </c>
      <c r="AI17" s="44" t="str">
        <f>IF(AND(AC17="*",AG18="*"),1,"")</f>
        <v/>
      </c>
      <c r="AJ17" s="44" t="str">
        <f>IF(AND(AG18="*", OR(AD17="*", AE17="*",AF17="*")),1,"")</f>
        <v/>
      </c>
      <c r="AK17" s="44" t="str">
        <f>IF(AND(AC18="*",OR(AD17="*",AE17="*",AF17="*",AG17="*")),1,IF(AND(AG17="*",OR(AC18="*",AD18="*",AE18="*",AF18="*")),1,""))</f>
        <v/>
      </c>
      <c r="AL17" s="44" t="str">
        <f>IF(AND(AD17="*",OR(AD18="*",AE18="*",AF18="*")),1,IF(AND(AE17="*",OR(AD18="*",AE18="*",AF18="*")),1,IF(AND(AF17="*",OR(AD18="*",AE18="*",AF18="*")),1,"")))</f>
        <v/>
      </c>
      <c r="AM17" s="44" t="str">
        <f>IF(AND(AC17="*",AC18="*"),1,"")</f>
        <v/>
      </c>
      <c r="AO17" s="44"/>
      <c r="AP17" s="44"/>
      <c r="AQ17" s="44"/>
      <c r="AR17" s="44"/>
      <c r="AS17" s="44"/>
      <c r="AT17" s="44" t="str">
        <f>IF(AND(AO17="*",OR(AP18="*",AQ18="*",AR18="*")), 1,"")</f>
        <v/>
      </c>
      <c r="AU17" s="44" t="str">
        <f>IF(AND(AO17="*",AS18="*"),1,"")</f>
        <v/>
      </c>
      <c r="AV17" s="44" t="str">
        <f>IF(AND(AS18="*", OR(AP17="*", AQ17="*",AR17="*")),1,"")</f>
        <v/>
      </c>
      <c r="AW17" s="44" t="str">
        <f>IF(AND(AO18="*",OR(AP17="*",AQ17="*",AR17="*",AS17="*")),1,IF(AND(AS17="*",OR(AO18="*",AP18="*",AQ18="*",AR18="*")),1,""))</f>
        <v/>
      </c>
      <c r="AX17" s="44" t="str">
        <f>IF(AND(AP17="*",OR(AP18="*",AQ18="*",AR18="*")),1,IF(AND(AQ17="*",OR(AP18="*",AQ18="*",AR18="*")),1,IF(AND(AR17="*",OR(AP18="*",AQ18="*",AR18="*")),1,"")))</f>
        <v/>
      </c>
      <c r="AY17" s="44" t="str">
        <f>IF(AND(AO17="*",AO18="*"),1,"")</f>
        <v/>
      </c>
      <c r="BA17" s="44"/>
      <c r="BB17" s="44"/>
      <c r="BC17" s="44"/>
      <c r="BD17" s="44"/>
      <c r="BE17" s="44"/>
      <c r="BF17" s="44" t="str">
        <f>IF(AND(BA17="*",OR(BB18="*",BC18="*",BD18="*")), 1,"")</f>
        <v/>
      </c>
      <c r="BG17" s="44" t="str">
        <f>IF(AND(BA17="*",BE18="*"),1,"")</f>
        <v/>
      </c>
      <c r="BH17" s="44" t="str">
        <f>IF(AND(BE18="*", OR(BB17="*", BC17="*",BD17="*")),1,"")</f>
        <v/>
      </c>
      <c r="BI17" s="44" t="str">
        <f>IF(AND(BA18="*",OR(BB17="*",BC17="*",BD17="*",BE17="*")),1,IF(AND(BE17="*",OR(BA18="*",BB18="*",BC18="*",BD18="*")),1,""))</f>
        <v/>
      </c>
      <c r="BJ17" s="44" t="str">
        <f>IF(AND(BB17="*",OR(BB18="*",BC18="*",BD18="*")),1,IF(AND(BC17="*",OR(BB18="*",BC18="*",BD18="*")),1,IF(AND(BD17="*",OR(BB18="*",BC18="*",BD18="*")),1,"")))</f>
        <v/>
      </c>
      <c r="BK17" s="44" t="str">
        <f>IF(AND(BA17="*",BA18="*"),1,"")</f>
        <v/>
      </c>
      <c r="BM17" s="44"/>
      <c r="BN17" s="44"/>
      <c r="BO17" s="44"/>
      <c r="BP17" s="44"/>
      <c r="BQ17" s="44"/>
      <c r="BR17" s="44"/>
      <c r="BS17" s="44" t="str">
        <f>IF(AND(BM17="*",OR(BN18="*",BO18="*",BP18="*")), 1,"")</f>
        <v/>
      </c>
      <c r="BT17" s="44" t="str">
        <f>IF(AND(BM17="*",BQ18="*"),1,"")</f>
        <v/>
      </c>
      <c r="BU17" s="44" t="str">
        <f>IF(AND(BQ18="*", OR(BN17="*", BO17="*",BP17="*")),1,"")</f>
        <v/>
      </c>
      <c r="BV17" s="44" t="str">
        <f>IF(AND(BM18="*",OR(BN17="*",BO17="*",BP17="*",BQ17="*")),1,IF(AND(BQ17="*",OR(BM18="*",BN18="*",BO18="*",BP18="*")),1,""))</f>
        <v/>
      </c>
      <c r="BW17" s="44" t="str">
        <f>IF(AND(BN17="*",OR(BN18="*",BO18="*",BP18="*")),1,IF(AND(BO17="*",OR(BN18="*",BO18="*",BP18="*")),1,IF(AND(BP17="*",OR(BN18="*",BO18="*",BP18="*")),1,"")))</f>
        <v/>
      </c>
      <c r="BX17" s="44" t="str">
        <f>IF(AND(BM17="*",BM18="*"),1,"")</f>
        <v/>
      </c>
      <c r="BZ17" s="44"/>
      <c r="CA17" s="44"/>
      <c r="CB17" s="44"/>
      <c r="CC17" s="44"/>
      <c r="CD17" s="44"/>
      <c r="CE17" s="44" t="str">
        <f>IF(AND(BZ17="*",OR(CA18="*",CB18="*",CC18="*")), 1,"")</f>
        <v/>
      </c>
      <c r="CF17" s="44" t="str">
        <f>IF(AND(BZ17="*",CD18="*"),1,"")</f>
        <v/>
      </c>
      <c r="CG17" s="44" t="str">
        <f>IF(AND(CD18="*", OR(CA17="*", CB17="*",CC17="*")),1,"")</f>
        <v/>
      </c>
      <c r="CH17" s="44" t="str">
        <f>IF(AND(BZ18="*",OR(CA17="*",CB17="*",CC17="*",CD17="*")),1,IF(AND(CD17="*",OR(BZ18="*",CA18="*",CB18="*",CC18="*")),1,""))</f>
        <v/>
      </c>
      <c r="CI17" s="44" t="str">
        <f>IF(AND(CA17="*",OR(CA18="*",CB18="*",CC18="*")),1,IF(AND(CB17="*",OR(CA18="*",CB18="*",CC18="*")),1,IF(AND(CC17="*",OR(CA18="*",CB18="*",CC18="*")),1,"")))</f>
        <v/>
      </c>
      <c r="CJ17" s="44" t="str">
        <f>IF(AND(BZ17="*",BZ18="*"),1,"")</f>
        <v/>
      </c>
      <c r="CL17" s="44"/>
      <c r="CM17" s="44"/>
      <c r="CN17" s="44"/>
      <c r="CO17" s="44"/>
      <c r="CP17" s="44"/>
      <c r="CQ17" s="44" t="str">
        <f>IF(AND(CL17="*",OR(CM18="*",CN18="*",CO18="*")), 1,"")</f>
        <v/>
      </c>
      <c r="CR17" s="44" t="str">
        <f>IF(AND(CL17="*",CP18="*"),1,"")</f>
        <v/>
      </c>
      <c r="CS17" s="44" t="str">
        <f>IF(AND(CP18="*", OR(CM17="*", CN17="*",CO17="*")),1,"")</f>
        <v/>
      </c>
      <c r="CT17" s="44" t="str">
        <f>IF(AND(CL18="*",OR(CM17="*",CN17="*",CO17="*",CP17="*")),1,IF(AND(CP17="*",OR(CL18="*",CM18="*",CN18="*",CO18="*")),1,""))</f>
        <v/>
      </c>
      <c r="CU17" s="44" t="str">
        <f>IF(AND(CM17="*",OR(CM18="*",CN18="*",CO18="*")),1,IF(AND(CN17="*",OR(CM18="*",CN18="*",CO18="*")),1,IF(AND(CO17="*",OR(CM18="*",CN18="*",CO18="*")),1,"")))</f>
        <v/>
      </c>
      <c r="CV17" s="44" t="str">
        <f>IF(AND(CL17="*",CL18="*"),1,"")</f>
        <v/>
      </c>
      <c r="CX17" s="44"/>
      <c r="CY17" s="44"/>
      <c r="CZ17" s="44"/>
      <c r="DA17" s="44"/>
      <c r="DB17" s="44"/>
      <c r="DC17" s="44" t="str">
        <f>IF(AND(CX17="*",OR(CY18="*",CZ18="*",DA18="*")), 1,"")</f>
        <v/>
      </c>
      <c r="DD17" s="44" t="str">
        <f>IF(AND(CX17="*",DB18="*"),1,"")</f>
        <v/>
      </c>
      <c r="DE17" s="44" t="str">
        <f>IF(AND(DB18="*", OR(CY17="*", CZ17="*",DA17="*")),1,"")</f>
        <v/>
      </c>
      <c r="DF17" s="44" t="str">
        <f>IF(AND(CX18="*",OR(CY17="*",CZ17="*",DA17="*",DB17="*")),1,IF(AND(DB17="*",OR(CX18="*",CY18="*",CZ18="*",DA18="*")),1,""))</f>
        <v/>
      </c>
      <c r="DG17" s="44" t="str">
        <f>IF(AND(CY17="*",OR(CY18="*",CZ18="*",DA18="*")),1,IF(AND(CZ17="*",OR(CY18="*",CZ18="*",DA18="*")),1,IF(AND(DA17="*",OR(CY18="*",CZ18="*",DA18="*")),1,"")))</f>
        <v/>
      </c>
      <c r="DH17" s="44" t="str">
        <f>IF(AND(CX17="*",CX18="*"),1,"")</f>
        <v/>
      </c>
      <c r="DJ17" s="44"/>
      <c r="DK17" s="44"/>
      <c r="DL17" s="44"/>
      <c r="DM17" s="44"/>
      <c r="DN17" s="44"/>
      <c r="DO17" s="44" t="str">
        <f>IF(AND(DJ17="*",OR(DK18="*",DL18="*",DM18="*")), 1,"")</f>
        <v/>
      </c>
      <c r="DP17" s="44" t="str">
        <f>IF(AND(DJ17="*",DN18="*"),1,"")</f>
        <v/>
      </c>
      <c r="DQ17" s="44" t="str">
        <f>IF(AND(DN18="*", OR(DK17="*", DL17="*",DM17="*")),1,"")</f>
        <v/>
      </c>
      <c r="DR17" s="44" t="str">
        <f>IF(AND(DJ18="*",OR(DK17="*",DL17="*",DM17="*",DN17="*")),1,IF(AND(DN17="*",OR(DJ18="*",DK18="*",DL18="*",DM18="*")),1,""))</f>
        <v/>
      </c>
      <c r="DS17" s="44" t="str">
        <f>IF(AND(DK17="*",OR(DK18="*",DL18="*",DM18="*")),1,IF(AND(DL17="*",OR(DK18="*",DL18="*",DM18="*")),1,IF(AND(DM17="*",OR(DK18="*",DL18="*",DM18="*")),1,"")))</f>
        <v/>
      </c>
      <c r="DT17" s="44" t="str">
        <f>IF(AND(DJ17="*",DJ18="*"),1,"")</f>
        <v/>
      </c>
      <c r="DV17" s="44"/>
      <c r="DW17" s="44"/>
      <c r="DX17" s="44"/>
      <c r="DY17" s="44"/>
      <c r="DZ17" s="44"/>
      <c r="EA17" s="44" t="str">
        <f>IF(AND(DV17="*",OR(DW18="*",DX18="*",DY18="*")), 1,"")</f>
        <v/>
      </c>
      <c r="EB17" s="44" t="str">
        <f>IF(AND(DV17="*",DZ18="*"),1,"")</f>
        <v/>
      </c>
      <c r="EC17" s="44" t="str">
        <f>IF(AND(DZ18="*", OR(DW17="*", DX17="*",DY17="*")),1,"")</f>
        <v/>
      </c>
      <c r="ED17" s="44" t="str">
        <f>IF(AND(DV18="*",OR(DW17="*",DX17="*",DY17="*",DZ17="*")),1,IF(AND(DZ17="*",OR(DV18="*",DW18="*",DX18="*",DY18="*")),1,""))</f>
        <v/>
      </c>
      <c r="EE17" s="44" t="str">
        <f>IF(AND(DW17="*",OR(DW18="*",DX18="*",DY18="*")),1,IF(AND(DX17="*",OR(DW18="*",DX18="*",DY18="*")),1,IF(AND(DY17="*",OR(DW18="*",DX18="*",DY18="*")),1,"")))</f>
        <v/>
      </c>
      <c r="EF17" s="44" t="str">
        <f>IF(AND(DV17="*",DV18="*"),1,"")</f>
        <v/>
      </c>
      <c r="EH17" s="44"/>
      <c r="EI17" s="44"/>
      <c r="EJ17" s="44"/>
      <c r="EK17" s="44"/>
      <c r="EL17" s="44"/>
      <c r="EM17" s="44" t="str">
        <f>IF(AND(EH17="*",OR(EI18="*",EJ18="*",EK18="*")), 1,"")</f>
        <v/>
      </c>
      <c r="EN17" s="44" t="str">
        <f>IF(AND(EH17="*",EL18="*"),1,"")</f>
        <v/>
      </c>
      <c r="EO17" s="44" t="str">
        <f>IF(AND(EL18="*", OR(EI17="*", EJ17="*",EK17="*")),1,"")</f>
        <v/>
      </c>
      <c r="EP17" s="44" t="str">
        <f>IF(AND(EH18="*",OR(EI17="*",EJ17="*",EK17="*",EL17="*")),1,IF(AND(EL17="*",OR(EH18="*",EI18="*",EJ18="*",EK18="*")),1,""))</f>
        <v/>
      </c>
      <c r="EQ17" s="44" t="str">
        <f>IF(AND(EI17="*",OR(EI18="*",EJ18="*",EK18="*")),1,IF(AND(EJ17="*",OR(EI18="*",EJ18="*",EK18="*")),1,IF(AND(EK17="*",OR(EI18="*",EJ18="*",EK18="*")),1,"")))</f>
        <v/>
      </c>
      <c r="ER17" s="44" t="str">
        <f>IF(AND(EH17="*",EH18="*"),1,"")</f>
        <v/>
      </c>
      <c r="ET17" s="44"/>
      <c r="EU17" s="44"/>
      <c r="EV17" s="44"/>
      <c r="EW17" s="44"/>
      <c r="EX17" s="44"/>
      <c r="EY17" s="44" t="str">
        <f>IF(AND(ET17="*",OR(EU18="*",EV18="*",EW18="*")), 1,"")</f>
        <v/>
      </c>
      <c r="EZ17" s="44" t="str">
        <f>IF(AND(ET17="*",EX18="*"),1,"")</f>
        <v/>
      </c>
      <c r="FA17" s="44" t="str">
        <f>IF(AND(EX18="*", OR(EU17="*", EV17="*",EW17="*")),1,"")</f>
        <v/>
      </c>
      <c r="FB17" s="44" t="str">
        <f>IF(AND(ET18="*",OR(EU17="*",EV17="*",EW17="*",EX17="*")),1,IF(AND(EX17="*",OR(ET18="*",EU18="*",EV18="*",EW18="*")),1,""))</f>
        <v/>
      </c>
      <c r="FC17" s="44" t="str">
        <f>IF(AND(EU17="*",OR(EU18="*",EV18="*",EW18="*")),1,IF(AND(EV17="*",OR(EU18="*",EV18="*",EW18="*")),1,IF(AND(EW17="*",OR(EU18="*",EV18="*",EW18="*")),1,"")))</f>
        <v/>
      </c>
      <c r="FD17" s="44" t="str">
        <f>IF(AND(ET17="*",ET18="*"),1,"")</f>
        <v/>
      </c>
      <c r="FF17" s="44"/>
      <c r="FG17" s="44"/>
      <c r="FH17" s="44"/>
      <c r="FI17" s="44"/>
      <c r="FJ17" s="44"/>
      <c r="FK17" s="44" t="str">
        <f>IF(AND(FF17="*",OR(FG18="*",FH18="*",FI18="*")), 1,"")</f>
        <v/>
      </c>
      <c r="FL17" s="44" t="str">
        <f>IF(AND(FF17="*",FJ18="*"),1,"")</f>
        <v/>
      </c>
      <c r="FM17" s="44" t="str">
        <f>IF(AND(FJ18="*", OR(FG17="*", FH17="*",FI17="*")),1,"")</f>
        <v/>
      </c>
      <c r="FN17" s="44" t="str">
        <f>IF(AND(FF18="*",OR(FG17="*",FH17="*",FI17="*",FJ17="*")),1,IF(AND(FJ17="*",OR(FF18="*",FG18="*",FH18="*",FI18="*")),1,""))</f>
        <v/>
      </c>
      <c r="FO17" s="44" t="str">
        <f>IF(AND(FG17="*",OR(FG18="*",FH18="*",FI18="*")),1,IF(AND(FH17="*",OR(FG18="*",FH18="*",FI18="*")),1,IF(AND(FI17="*",OR(FG18="*",FH18="*",FI18="*")),1,"")))</f>
        <v/>
      </c>
      <c r="FP17" s="44" t="str">
        <f>IF(AND(FF17="*",FF18="*"),1,"")</f>
        <v/>
      </c>
      <c r="FR17" s="44"/>
      <c r="FS17" s="44"/>
      <c r="FT17" s="44"/>
      <c r="FU17" s="44"/>
      <c r="FV17" s="44"/>
      <c r="FW17" s="44" t="str">
        <f>IF(AND(FR17="*",OR(FS18="*",FT18="*",FU18="*")), 1,"")</f>
        <v/>
      </c>
      <c r="FX17" s="44" t="str">
        <f>IF(AND(FR17="*",FV18="*"),1,"")</f>
        <v/>
      </c>
      <c r="FY17" s="44" t="str">
        <f>IF(AND(FV18="*", OR(FS17="*", FT17="*",FU17="*")),1,"")</f>
        <v/>
      </c>
      <c r="FZ17" s="44" t="str">
        <f>IF(AND(FR18="*",OR(FS17="*",FT17="*",FU17="*",FV17="*")),1,IF(AND(FV17="*",OR(FR18="*",FS18="*",FT18="*",FU18="*")),1,""))</f>
        <v/>
      </c>
      <c r="GA17" s="44" t="str">
        <f>IF(AND(FS17="*",OR(FS18="*",FT18="*",FU18="*")),1,IF(AND(FT17="*",OR(FS18="*",FT18="*",FU18="*")),1,IF(AND(FU17="*",OR(FS18="*",FT18="*",FU18="*")),1,"")))</f>
        <v/>
      </c>
      <c r="GB17" s="44" t="str">
        <f>IF(AND(FR17="*",FR18="*"),1,"")</f>
        <v/>
      </c>
      <c r="GD17" s="44"/>
      <c r="GE17" s="44"/>
      <c r="GF17" s="44"/>
      <c r="GG17" s="44"/>
      <c r="GH17" s="44"/>
      <c r="GI17" s="44"/>
      <c r="GJ17" s="44" t="str">
        <f>IF(AND(GD17="*",OR(GE18="*",GF18="*",GG18="*")), 1,"")</f>
        <v/>
      </c>
      <c r="GK17" s="44" t="str">
        <f>IF(AND(GD17="*",GH18="*"),1,"")</f>
        <v/>
      </c>
      <c r="GL17" s="44" t="str">
        <f>IF(AND(GH18="*", OR(GE17="*", GF17="*",GG17="*")),1,"")</f>
        <v/>
      </c>
      <c r="GM17" s="44" t="str">
        <f>IF(AND(GD18="*",OR(GE17="*",GF17="*",GG17="*",GH17="*")),1,IF(AND(GH17="*",OR(GD18="*",GE18="*",GF18="*",GG18="*")),1,""))</f>
        <v/>
      </c>
      <c r="GN17" s="44" t="str">
        <f>IF(AND(GE17="*",OR(GE18="*",GF18="*",GG18="*")),1,IF(AND(GF17="*",OR(GE18="*",GF18="*",GG18="*")),1,IF(AND(GG17="*",OR(GE18="*",GF18="*",GG18="*")),1,"")))</f>
        <v/>
      </c>
      <c r="GO17" s="44" t="str">
        <f>IF(AND(GD17="*",GD18="*"),1,"")</f>
        <v/>
      </c>
      <c r="GQ17" s="44"/>
      <c r="GR17" s="44"/>
      <c r="GS17" s="44"/>
      <c r="GT17" s="44"/>
      <c r="GU17" s="44"/>
      <c r="GV17" s="44" t="str">
        <f>IF(AND(GQ17="*",OR(GR18="*",GS18="*",GT18="*")), 1,"")</f>
        <v/>
      </c>
      <c r="GW17" s="44" t="str">
        <f>IF(AND(GQ17="*",GU18="*"),1,"")</f>
        <v/>
      </c>
      <c r="GX17" s="44" t="str">
        <f>IF(AND(GU18="*", OR(GR17="*", GS17="*",GT17="*")),1,"")</f>
        <v/>
      </c>
      <c r="GY17" s="44" t="str">
        <f>IF(AND(GQ18="*",OR(GR17="*",GS17="*",GT17="*",GU17="*")),1,IF(AND(GU17="*",OR(GQ18="*",GR18="*",GS18="*",GT18="*")),1,""))</f>
        <v/>
      </c>
      <c r="GZ17" s="44" t="str">
        <f>IF(AND(GR17="*",OR(GR18="*",GS18="*",GT18="*")),1,IF(AND(GS17="*",OR(GR18="*",GS18="*",GT18="*")),1,IF(AND(GT17="*",OR(GR18="*",GS18="*",GT18="*")),1,"")))</f>
        <v/>
      </c>
      <c r="HA17" s="44" t="str">
        <f>IF(AND(GQ17="*",GQ18="*"),1,"")</f>
        <v/>
      </c>
      <c r="HC17" s="44"/>
      <c r="HD17" s="44"/>
      <c r="HE17" s="44"/>
      <c r="HF17" s="44"/>
      <c r="HG17" s="44"/>
      <c r="HH17" s="44" t="str">
        <f>IF(AND(HC17="*",OR(HD18="*",HE18="*",HF18="*")), 1,"")</f>
        <v/>
      </c>
      <c r="HI17" s="44" t="str">
        <f>IF(AND(HC17="*",HG18="*"),1,"")</f>
        <v/>
      </c>
      <c r="HJ17" s="44" t="str">
        <f>IF(AND(HG18="*", OR(HD17="*", HE17="*",HF17="*")),1,"")</f>
        <v/>
      </c>
      <c r="HK17" s="44" t="str">
        <f>IF(AND(HC18="*",OR(HD17="*",HE17="*",HF17="*",HG17="*")),1,IF(AND(HG17="*",OR(HC18="*",HD18="*",HE18="*",HF18="*")),1,""))</f>
        <v/>
      </c>
      <c r="HL17" s="44" t="str">
        <f>IF(AND(HD17="*",OR(HD18="*",HE18="*",HF18="*")),1,IF(AND(HE17="*",OR(HD18="*",HE18="*",HF18="*")),1,IF(AND(HF17="*",OR(HD18="*",HE18="*",HF18="*")),1,"")))</f>
        <v/>
      </c>
      <c r="HM17" s="44" t="str">
        <f>IF(AND(HC17="*",HC18="*"),1,"")</f>
        <v/>
      </c>
      <c r="HO17" s="44"/>
      <c r="HP17" s="44"/>
      <c r="HQ17" s="44"/>
      <c r="HR17" s="44"/>
      <c r="HS17" s="44"/>
      <c r="HT17" s="44" t="str">
        <f>IF(AND(HO17="*",OR(HP18="*",HQ18="*",HR18="*")), 1,"")</f>
        <v/>
      </c>
      <c r="HU17" s="44" t="str">
        <f>IF(AND(HO17="*",HS18="*"),1,"")</f>
        <v/>
      </c>
      <c r="HV17" s="44" t="str">
        <f>IF(AND(HS18="*", OR(HP17="*", HQ17="*",HR17="*")),1,"")</f>
        <v/>
      </c>
      <c r="HW17" s="44" t="str">
        <f>IF(AND(HO18="*",OR(HP17="*",HQ17="*",HR17="*",HS17="*")),1,IF(AND(HS17="*",OR(HO18="*",HP18="*",HQ18="*",HR18="*")),1,""))</f>
        <v/>
      </c>
      <c r="HX17" s="44" t="str">
        <f>IF(AND(HP17="*",OR(HP18="*",HQ18="*",HR18="*")),1,IF(AND(HQ17="*",OR(HP18="*",HQ18="*",HR18="*")),1,IF(AND(HR17="*",OR(HP18="*",HQ18="*",HR18="*")),1,"")))</f>
        <v/>
      </c>
      <c r="HY17" s="44" t="str">
        <f>IF(AND(HO17="*",HO18="*"),1,"")</f>
        <v/>
      </c>
      <c r="IA17" s="44"/>
      <c r="IB17" s="44"/>
      <c r="IC17" s="44"/>
      <c r="ID17" s="44"/>
      <c r="IE17" s="44"/>
      <c r="IF17" s="44" t="str">
        <f>IF(AND(IA17="*",OR(IB18="*",IC18="*",ID18="*")), 1,"")</f>
        <v/>
      </c>
      <c r="IG17" s="44" t="str">
        <f>IF(AND(IA17="*",IE18="*"),1,"")</f>
        <v/>
      </c>
      <c r="IH17" s="44" t="str">
        <f>IF(AND(IE18="*", OR(IB17="*", IC17="*",ID17="*")),1,"")</f>
        <v/>
      </c>
      <c r="II17" s="44" t="str">
        <f>IF(AND(IA18="*",OR(IB17="*",IC17="*",ID17="*",IE17="*")),1,IF(AND(IE17="*",OR(IA18="*",IB18="*",IC18="*",ID18="*")),1,""))</f>
        <v/>
      </c>
      <c r="IJ17" s="44" t="str">
        <f>IF(AND(IB17="*",OR(IB18="*",IC18="*",ID18="*")),1,IF(AND(IC17="*",OR(IB18="*",IC18="*",ID18="*")),1,IF(AND(ID17="*",OR(IB18="*",IC18="*",ID18="*")),1,"")))</f>
        <v/>
      </c>
      <c r="IK17" s="44" t="str">
        <f>IF(AND(IA17="*",IA18="*"),1,"")</f>
        <v/>
      </c>
      <c r="IL17" s="44">
        <f>COUNT(J17,V17,AH17,AT17,BF17,BS17,CE17,CQ17,DC17,DO17,EA17,EM17,EY17,FK17,FW17,GJ17,GV17,HH17,HT17,IF17)</f>
        <v>0</v>
      </c>
      <c r="IM17" s="44">
        <f t="shared" ref="IM17:IQ17" si="7">COUNT(K17,W17,AI17,AU17,BG17,BT17,CF17,CR17,DD17,DP17,EB17,EN17,EZ17,FL17,FX17,GK17,GW17,HI17,HU17,IG17)</f>
        <v>0</v>
      </c>
      <c r="IN17" s="44">
        <f t="shared" si="7"/>
        <v>0</v>
      </c>
      <c r="IO17" s="44">
        <f t="shared" si="7"/>
        <v>0</v>
      </c>
      <c r="IP17" s="44">
        <f t="shared" si="7"/>
        <v>0</v>
      </c>
      <c r="IQ17" s="44">
        <f t="shared" si="7"/>
        <v>0</v>
      </c>
    </row>
    <row r="18" spans="2:251" ht="15" customHeight="1" x14ac:dyDescent="0.4">
      <c r="B18" s="273"/>
      <c r="C18" s="275"/>
      <c r="D18" s="42" t="s">
        <v>61</v>
      </c>
      <c r="E18" s="44"/>
      <c r="F18" s="44"/>
      <c r="G18" s="44"/>
      <c r="H18" s="44"/>
      <c r="I18" s="44"/>
      <c r="J18" s="43"/>
      <c r="K18" s="43"/>
      <c r="L18" s="43"/>
      <c r="M18" s="43"/>
      <c r="N18" s="43"/>
      <c r="O18" s="43"/>
      <c r="Q18" s="44"/>
      <c r="R18" s="44"/>
      <c r="S18" s="44"/>
      <c r="T18" s="44"/>
      <c r="U18" s="44"/>
      <c r="V18" s="43"/>
      <c r="W18" s="43"/>
      <c r="X18" s="43"/>
      <c r="Y18" s="43"/>
      <c r="Z18" s="43"/>
      <c r="AA18" s="43"/>
      <c r="AC18" s="44"/>
      <c r="AD18" s="44"/>
      <c r="AE18" s="44"/>
      <c r="AF18" s="44"/>
      <c r="AG18" s="44"/>
      <c r="AH18" s="43"/>
      <c r="AI18" s="43"/>
      <c r="AJ18" s="43"/>
      <c r="AK18" s="43"/>
      <c r="AL18" s="43"/>
      <c r="AM18" s="43"/>
      <c r="AO18" s="44"/>
      <c r="AP18" s="44"/>
      <c r="AQ18" s="44"/>
      <c r="AR18" s="44"/>
      <c r="AS18" s="44"/>
      <c r="AT18" s="43"/>
      <c r="AU18" s="43"/>
      <c r="AV18" s="43"/>
      <c r="AW18" s="43"/>
      <c r="AX18" s="43"/>
      <c r="AY18" s="43"/>
      <c r="BA18" s="44"/>
      <c r="BB18" s="44"/>
      <c r="BC18" s="44"/>
      <c r="BD18" s="44"/>
      <c r="BE18" s="44"/>
      <c r="BF18" s="43"/>
      <c r="BG18" s="43"/>
      <c r="BH18" s="43"/>
      <c r="BI18" s="43"/>
      <c r="BJ18" s="43"/>
      <c r="BK18" s="43"/>
      <c r="BM18" s="44"/>
      <c r="BN18" s="44"/>
      <c r="BO18" s="44"/>
      <c r="BP18" s="44"/>
      <c r="BQ18" s="44"/>
      <c r="BR18" s="44"/>
      <c r="BS18" s="43"/>
      <c r="BT18" s="43"/>
      <c r="BU18" s="43"/>
      <c r="BV18" s="43"/>
      <c r="BW18" s="43"/>
      <c r="BX18" s="43"/>
      <c r="BZ18" s="44"/>
      <c r="CA18" s="44"/>
      <c r="CB18" s="44"/>
      <c r="CC18" s="44"/>
      <c r="CD18" s="44"/>
      <c r="CE18" s="43"/>
      <c r="CF18" s="43"/>
      <c r="CG18" s="43"/>
      <c r="CH18" s="43"/>
      <c r="CI18" s="43"/>
      <c r="CJ18" s="43"/>
      <c r="CL18" s="44"/>
      <c r="CM18" s="44"/>
      <c r="CN18" s="44"/>
      <c r="CO18" s="44"/>
      <c r="CP18" s="44"/>
      <c r="CQ18" s="43"/>
      <c r="CR18" s="43"/>
      <c r="CS18" s="43"/>
      <c r="CT18" s="43"/>
      <c r="CU18" s="43"/>
      <c r="CV18" s="43"/>
      <c r="CX18" s="44"/>
      <c r="CY18" s="44"/>
      <c r="CZ18" s="44"/>
      <c r="DA18" s="44"/>
      <c r="DB18" s="44"/>
      <c r="DC18" s="43"/>
      <c r="DD18" s="43"/>
      <c r="DE18" s="43"/>
      <c r="DF18" s="43"/>
      <c r="DG18" s="43"/>
      <c r="DH18" s="43"/>
      <c r="DJ18" s="44"/>
      <c r="DK18" s="44"/>
      <c r="DL18" s="44"/>
      <c r="DM18" s="44"/>
      <c r="DN18" s="44"/>
      <c r="DO18" s="43"/>
      <c r="DP18" s="43"/>
      <c r="DQ18" s="43"/>
      <c r="DR18" s="43"/>
      <c r="DS18" s="43"/>
      <c r="DT18" s="43"/>
      <c r="DV18" s="44"/>
      <c r="DW18" s="44"/>
      <c r="DX18" s="44"/>
      <c r="DY18" s="44"/>
      <c r="DZ18" s="44"/>
      <c r="EA18" s="43"/>
      <c r="EB18" s="43"/>
      <c r="EC18" s="43"/>
      <c r="ED18" s="43"/>
      <c r="EE18" s="43"/>
      <c r="EF18" s="43"/>
      <c r="EH18" s="44"/>
      <c r="EI18" s="44"/>
      <c r="EJ18" s="44"/>
      <c r="EK18" s="44"/>
      <c r="EL18" s="44"/>
      <c r="EM18" s="43"/>
      <c r="EN18" s="43"/>
      <c r="EO18" s="43"/>
      <c r="EP18" s="43"/>
      <c r="EQ18" s="43"/>
      <c r="ER18" s="43"/>
      <c r="ET18" s="44"/>
      <c r="EU18" s="44"/>
      <c r="EV18" s="44"/>
      <c r="EW18" s="44"/>
      <c r="EX18" s="44"/>
      <c r="EY18" s="43"/>
      <c r="EZ18" s="43"/>
      <c r="FA18" s="43"/>
      <c r="FB18" s="43"/>
      <c r="FC18" s="43"/>
      <c r="FD18" s="43"/>
      <c r="FF18" s="44"/>
      <c r="FG18" s="44"/>
      <c r="FH18" s="44"/>
      <c r="FI18" s="44"/>
      <c r="FJ18" s="44"/>
      <c r="FK18" s="43"/>
      <c r="FL18" s="43"/>
      <c r="FM18" s="43"/>
      <c r="FN18" s="43"/>
      <c r="FO18" s="43"/>
      <c r="FP18" s="43"/>
      <c r="FR18" s="44"/>
      <c r="FS18" s="44"/>
      <c r="FT18" s="44"/>
      <c r="FU18" s="44"/>
      <c r="FV18" s="44"/>
      <c r="FW18" s="43"/>
      <c r="FX18" s="43"/>
      <c r="FY18" s="43"/>
      <c r="FZ18" s="43"/>
      <c r="GA18" s="43"/>
      <c r="GB18" s="43"/>
      <c r="GD18" s="44"/>
      <c r="GE18" s="44"/>
      <c r="GF18" s="44"/>
      <c r="GG18" s="44"/>
      <c r="GH18" s="44"/>
      <c r="GI18" s="44"/>
      <c r="GJ18" s="43"/>
      <c r="GK18" s="43"/>
      <c r="GL18" s="43"/>
      <c r="GM18" s="43"/>
      <c r="GN18" s="43"/>
      <c r="GO18" s="43"/>
      <c r="GQ18" s="44"/>
      <c r="GR18" s="44"/>
      <c r="GS18" s="44"/>
      <c r="GT18" s="44"/>
      <c r="GU18" s="44"/>
      <c r="GV18" s="43"/>
      <c r="GW18" s="43"/>
      <c r="GX18" s="43"/>
      <c r="GY18" s="43"/>
      <c r="GZ18" s="43"/>
      <c r="HA18" s="43"/>
      <c r="HC18" s="44"/>
      <c r="HD18" s="44"/>
      <c r="HE18" s="44"/>
      <c r="HF18" s="44"/>
      <c r="HG18" s="44"/>
      <c r="HH18" s="43"/>
      <c r="HI18" s="43"/>
      <c r="HJ18" s="43"/>
      <c r="HK18" s="43"/>
      <c r="HL18" s="43"/>
      <c r="HM18" s="43"/>
      <c r="HO18" s="44"/>
      <c r="HP18" s="44"/>
      <c r="HQ18" s="44"/>
      <c r="HR18" s="44"/>
      <c r="HS18" s="44"/>
      <c r="HT18" s="43"/>
      <c r="HU18" s="43"/>
      <c r="HV18" s="43"/>
      <c r="HW18" s="43"/>
      <c r="HX18" s="43"/>
      <c r="HY18" s="43"/>
      <c r="IA18" s="44"/>
      <c r="IB18" s="44"/>
      <c r="IC18" s="44"/>
      <c r="ID18" s="44"/>
      <c r="IE18" s="44"/>
      <c r="IF18" s="43"/>
      <c r="IG18" s="43"/>
      <c r="IH18" s="43"/>
      <c r="II18" s="43"/>
      <c r="IJ18" s="43"/>
      <c r="IK18" s="43"/>
    </row>
    <row r="19" spans="2:251" ht="15" customHeight="1" x14ac:dyDescent="0.4">
      <c r="B19" s="276">
        <v>9</v>
      </c>
      <c r="C19" s="278">
        <f>고객요구사항도출표!C13</f>
        <v>0</v>
      </c>
      <c r="D19" s="40" t="s">
        <v>58</v>
      </c>
      <c r="E19" s="41"/>
      <c r="F19" s="41"/>
      <c r="G19" s="41"/>
      <c r="H19" s="41"/>
      <c r="I19" s="41"/>
      <c r="J19" s="41" t="str">
        <f>IF(AND(E19="*",OR(F20="*",G20="*",H20="*")), 1,"")</f>
        <v/>
      </c>
      <c r="K19" s="41" t="str">
        <f>IF(AND(E19="*",I20="*"),1,"")</f>
        <v/>
      </c>
      <c r="L19" s="41" t="str">
        <f>IF(AND(I20="*", OR(F19="*", G19="*",H19="*")),1,"")</f>
        <v/>
      </c>
      <c r="M19" s="41" t="str">
        <f>IF(AND(E20="*",OR(F19="*",G19="*",H19="*",I19="*")),1,IF(AND(I19="*",OR(E20="*",F20="*",G20="*",H20="*")),1,""))</f>
        <v/>
      </c>
      <c r="N19" s="41" t="str">
        <f>IF(AND(F19="*",OR(F20="*",G20="*",H20="*")),1,IF(AND(G19="*",OR(F20="*",G20="*",H20="*")),1,IF(AND(H19="*",OR(F20="*",G20="*",H20="*")),1,"")))</f>
        <v/>
      </c>
      <c r="O19" s="41" t="str">
        <f>IF(AND(E19="*",E20="*"),1,"")</f>
        <v/>
      </c>
      <c r="Q19" s="41"/>
      <c r="R19" s="41"/>
      <c r="S19" s="41"/>
      <c r="T19" s="41"/>
      <c r="U19" s="41"/>
      <c r="V19" s="41" t="str">
        <f>IF(AND(Q19="*",OR(R20="*",S20="*",T20="*")), 1,"")</f>
        <v/>
      </c>
      <c r="W19" s="41" t="str">
        <f>IF(AND(Q19="*",U20="*"),1,"")</f>
        <v/>
      </c>
      <c r="X19" s="41" t="str">
        <f>IF(AND(U20="*", OR(R19="*", S19="*",T19="*")),1,"")</f>
        <v/>
      </c>
      <c r="Y19" s="41" t="str">
        <f>IF(AND(Q20="*",OR(R19="*",S19="*",T19="*",U19="*")),1,IF(AND(U19="*",OR(Q20="*",R20="*",S20="*",T20="*")),1,""))</f>
        <v/>
      </c>
      <c r="Z19" s="41" t="str">
        <f>IF(AND(R19="*",OR(R20="*",S20="*",T20="*")),1,IF(AND(S19="*",OR(R20="*",S20="*",T20="*")),1,IF(AND(T19="*",OR(R20="*",S20="*",T20="*")),1,"")))</f>
        <v/>
      </c>
      <c r="AA19" s="41" t="str">
        <f>IF(AND(Q19="*",Q20="*"),1,"")</f>
        <v/>
      </c>
      <c r="AC19" s="41"/>
      <c r="AD19" s="41"/>
      <c r="AE19" s="41"/>
      <c r="AF19" s="41"/>
      <c r="AG19" s="41"/>
      <c r="AH19" s="41" t="str">
        <f>IF(AND(AC19="*",OR(AD20="*",AE20="*",AF20="*")), 1,"")</f>
        <v/>
      </c>
      <c r="AI19" s="41" t="str">
        <f>IF(AND(AC19="*",AG20="*"),1,"")</f>
        <v/>
      </c>
      <c r="AJ19" s="41" t="str">
        <f>IF(AND(AG20="*", OR(AD19="*", AE19="*",AF19="*")),1,"")</f>
        <v/>
      </c>
      <c r="AK19" s="41" t="str">
        <f>IF(AND(AC20="*",OR(AD19="*",AE19="*",AF19="*",AG19="*")),1,IF(AND(AG19="*",OR(AC20="*",AD20="*",AE20="*",AF20="*")),1,""))</f>
        <v/>
      </c>
      <c r="AL19" s="41" t="str">
        <f>IF(AND(AD19="*",OR(AD20="*",AE20="*",AF20="*")),1,IF(AND(AE19="*",OR(AD20="*",AE20="*",AF20="*")),1,IF(AND(AF19="*",OR(AD20="*",AE20="*",AF20="*")),1,"")))</f>
        <v/>
      </c>
      <c r="AM19" s="41" t="str">
        <f>IF(AND(AC19="*",AC20="*"),1,"")</f>
        <v/>
      </c>
      <c r="AO19" s="41"/>
      <c r="AP19" s="41"/>
      <c r="AQ19" s="41"/>
      <c r="AR19" s="41"/>
      <c r="AS19" s="41"/>
      <c r="AT19" s="41" t="str">
        <f>IF(AND(AO19="*",OR(AP20="*",AQ20="*",AR20="*")), 1,"")</f>
        <v/>
      </c>
      <c r="AU19" s="41" t="str">
        <f>IF(AND(AO19="*",AS20="*"),1,"")</f>
        <v/>
      </c>
      <c r="AV19" s="41" t="str">
        <f>IF(AND(AS20="*", OR(AP19="*", AQ19="*",AR19="*")),1,"")</f>
        <v/>
      </c>
      <c r="AW19" s="41" t="str">
        <f>IF(AND(AO20="*",OR(AP19="*",AQ19="*",AR19="*",AS19="*")),1,IF(AND(AS19="*",OR(AO20="*",AP20="*",AQ20="*",AR20="*")),1,""))</f>
        <v/>
      </c>
      <c r="AX19" s="41" t="str">
        <f>IF(AND(AP19="*",OR(AP20="*",AQ20="*",AR20="*")),1,IF(AND(AQ19="*",OR(AP20="*",AQ20="*",AR20="*")),1,IF(AND(AR19="*",OR(AP20="*",AQ20="*",AR20="*")),1,"")))</f>
        <v/>
      </c>
      <c r="AY19" s="41" t="str">
        <f>IF(AND(AO19="*",AO20="*"),1,"")</f>
        <v/>
      </c>
      <c r="BA19" s="41"/>
      <c r="BB19" s="41"/>
      <c r="BC19" s="41"/>
      <c r="BD19" s="41"/>
      <c r="BE19" s="41"/>
      <c r="BF19" s="41" t="str">
        <f>IF(AND(BA19="*",OR(BB20="*",BC20="*",BD20="*")), 1,"")</f>
        <v/>
      </c>
      <c r="BG19" s="41" t="str">
        <f>IF(AND(BA19="*",BE20="*"),1,"")</f>
        <v/>
      </c>
      <c r="BH19" s="41" t="str">
        <f>IF(AND(BE20="*", OR(BB19="*", BC19="*",BD19="*")),1,"")</f>
        <v/>
      </c>
      <c r="BI19" s="41" t="str">
        <f>IF(AND(BA20="*",OR(BB19="*",BC19="*",BD19="*",BE19="*")),1,IF(AND(BE19="*",OR(BA20="*",BB20="*",BC20="*",BD20="*")),1,""))</f>
        <v/>
      </c>
      <c r="BJ19" s="41" t="str">
        <f>IF(AND(BB19="*",OR(BB20="*",BC20="*",BD20="*")),1,IF(AND(BC19="*",OR(BB20="*",BC20="*",BD20="*")),1,IF(AND(BD19="*",OR(BB20="*",BC20="*",BD20="*")),1,"")))</f>
        <v/>
      </c>
      <c r="BK19" s="41" t="str">
        <f>IF(AND(BA19="*",BA20="*"),1,"")</f>
        <v/>
      </c>
      <c r="BM19" s="41"/>
      <c r="BN19" s="41"/>
      <c r="BO19" s="41"/>
      <c r="BP19" s="41"/>
      <c r="BQ19" s="41"/>
      <c r="BR19" s="41"/>
      <c r="BS19" s="41" t="str">
        <f>IF(AND(BM19="*",OR(BN20="*",BO20="*",BP20="*")), 1,"")</f>
        <v/>
      </c>
      <c r="BT19" s="41" t="str">
        <f>IF(AND(BM19="*",BQ20="*"),1,"")</f>
        <v/>
      </c>
      <c r="BU19" s="41" t="str">
        <f>IF(AND(BQ20="*", OR(BN19="*", BO19="*",BP19="*")),1,"")</f>
        <v/>
      </c>
      <c r="BV19" s="41" t="str">
        <f>IF(AND(BM20="*",OR(BN19="*",BO19="*",BP19="*",BQ19="*")),1,IF(AND(BQ19="*",OR(BM20="*",BN20="*",BO20="*",BP20="*")),1,""))</f>
        <v/>
      </c>
      <c r="BW19" s="41" t="str">
        <f>IF(AND(BN19="*",OR(BN20="*",BO20="*",BP20="*")),1,IF(AND(BO19="*",OR(BN20="*",BO20="*",BP20="*")),1,IF(AND(BP19="*",OR(BN20="*",BO20="*",BP20="*")),1,"")))</f>
        <v/>
      </c>
      <c r="BX19" s="41" t="str">
        <f>IF(AND(BM19="*",BM20="*"),1,"")</f>
        <v/>
      </c>
      <c r="BZ19" s="41"/>
      <c r="CA19" s="41"/>
      <c r="CB19" s="41"/>
      <c r="CC19" s="41"/>
      <c r="CD19" s="41"/>
      <c r="CE19" s="41" t="str">
        <f>IF(AND(BZ19="*",OR(CA20="*",CB20="*",CC20="*")), 1,"")</f>
        <v/>
      </c>
      <c r="CF19" s="41" t="str">
        <f>IF(AND(BZ19="*",CD20="*"),1,"")</f>
        <v/>
      </c>
      <c r="CG19" s="41" t="str">
        <f>IF(AND(CD20="*", OR(CA19="*", CB19="*",CC19="*")),1,"")</f>
        <v/>
      </c>
      <c r="CH19" s="41" t="str">
        <f>IF(AND(BZ20="*",OR(CA19="*",CB19="*",CC19="*",CD19="*")),1,IF(AND(CD19="*",OR(BZ20="*",CA20="*",CB20="*",CC20="*")),1,""))</f>
        <v/>
      </c>
      <c r="CI19" s="41" t="str">
        <f>IF(AND(CA19="*",OR(CA20="*",CB20="*",CC20="*")),1,IF(AND(CB19="*",OR(CA20="*",CB20="*",CC20="*")),1,IF(AND(CC19="*",OR(CA20="*",CB20="*",CC20="*")),1,"")))</f>
        <v/>
      </c>
      <c r="CJ19" s="41" t="str">
        <f>IF(AND(BZ19="*",BZ20="*"),1,"")</f>
        <v/>
      </c>
      <c r="CL19" s="41"/>
      <c r="CM19" s="41"/>
      <c r="CN19" s="41"/>
      <c r="CO19" s="41"/>
      <c r="CP19" s="41"/>
      <c r="CQ19" s="41" t="str">
        <f>IF(AND(CL19="*",OR(CM20="*",CN20="*",CO20="*")), 1,"")</f>
        <v/>
      </c>
      <c r="CR19" s="41" t="str">
        <f>IF(AND(CL19="*",CP20="*"),1,"")</f>
        <v/>
      </c>
      <c r="CS19" s="41" t="str">
        <f>IF(AND(CP20="*", OR(CM19="*", CN19="*",CO19="*")),1,"")</f>
        <v/>
      </c>
      <c r="CT19" s="41" t="str">
        <f>IF(AND(CL20="*",OR(CM19="*",CN19="*",CO19="*",CP19="*")),1,IF(AND(CP19="*",OR(CL20="*",CM20="*",CN20="*",CO20="*")),1,""))</f>
        <v/>
      </c>
      <c r="CU19" s="41" t="str">
        <f>IF(AND(CM19="*",OR(CM20="*",CN20="*",CO20="*")),1,IF(AND(CN19="*",OR(CM20="*",CN20="*",CO20="*")),1,IF(AND(CO19="*",OR(CM20="*",CN20="*",CO20="*")),1,"")))</f>
        <v/>
      </c>
      <c r="CV19" s="41" t="str">
        <f>IF(AND(CL19="*",CL20="*"),1,"")</f>
        <v/>
      </c>
      <c r="CX19" s="41"/>
      <c r="CY19" s="41"/>
      <c r="CZ19" s="41"/>
      <c r="DA19" s="41"/>
      <c r="DB19" s="41"/>
      <c r="DC19" s="41" t="str">
        <f>IF(AND(CX19="*",OR(CY20="*",CZ20="*",DA20="*")), 1,"")</f>
        <v/>
      </c>
      <c r="DD19" s="41" t="str">
        <f>IF(AND(CX19="*",DB20="*"),1,"")</f>
        <v/>
      </c>
      <c r="DE19" s="41" t="str">
        <f>IF(AND(DB20="*", OR(CY19="*", CZ19="*",DA19="*")),1,"")</f>
        <v/>
      </c>
      <c r="DF19" s="41" t="str">
        <f>IF(AND(CX20="*",OR(CY19="*",CZ19="*",DA19="*",DB19="*")),1,IF(AND(DB19="*",OR(CX20="*",CY20="*",CZ20="*",DA20="*")),1,""))</f>
        <v/>
      </c>
      <c r="DG19" s="41" t="str">
        <f>IF(AND(CY19="*",OR(CY20="*",CZ20="*",DA20="*")),1,IF(AND(CZ19="*",OR(CY20="*",CZ20="*",DA20="*")),1,IF(AND(DA19="*",OR(CY20="*",CZ20="*",DA20="*")),1,"")))</f>
        <v/>
      </c>
      <c r="DH19" s="41" t="str">
        <f>IF(AND(CX19="*",CX20="*"),1,"")</f>
        <v/>
      </c>
      <c r="DJ19" s="41"/>
      <c r="DK19" s="41"/>
      <c r="DL19" s="41"/>
      <c r="DM19" s="41"/>
      <c r="DN19" s="41"/>
      <c r="DO19" s="41" t="str">
        <f>IF(AND(DJ19="*",OR(DK20="*",DL20="*",DM20="*")), 1,"")</f>
        <v/>
      </c>
      <c r="DP19" s="41" t="str">
        <f>IF(AND(DJ19="*",DN20="*"),1,"")</f>
        <v/>
      </c>
      <c r="DQ19" s="41" t="str">
        <f>IF(AND(DN20="*", OR(DK19="*", DL19="*",DM19="*")),1,"")</f>
        <v/>
      </c>
      <c r="DR19" s="41" t="str">
        <f>IF(AND(DJ20="*",OR(DK19="*",DL19="*",DM19="*",DN19="*")),1,IF(AND(DN19="*",OR(DJ20="*",DK20="*",DL20="*",DM20="*")),1,""))</f>
        <v/>
      </c>
      <c r="DS19" s="41" t="str">
        <f>IF(AND(DK19="*",OR(DK20="*",DL20="*",DM20="*")),1,IF(AND(DL19="*",OR(DK20="*",DL20="*",DM20="*")),1,IF(AND(DM19="*",OR(DK20="*",DL20="*",DM20="*")),1,"")))</f>
        <v/>
      </c>
      <c r="DT19" s="41" t="str">
        <f>IF(AND(DJ19="*",DJ20="*"),1,"")</f>
        <v/>
      </c>
      <c r="DV19" s="41"/>
      <c r="DW19" s="41"/>
      <c r="DX19" s="41"/>
      <c r="DY19" s="41"/>
      <c r="DZ19" s="41"/>
      <c r="EA19" s="41" t="str">
        <f>IF(AND(DV19="*",OR(DW20="*",DX20="*",DY20="*")), 1,"")</f>
        <v/>
      </c>
      <c r="EB19" s="41" t="str">
        <f>IF(AND(DV19="*",DZ20="*"),1,"")</f>
        <v/>
      </c>
      <c r="EC19" s="41" t="str">
        <f>IF(AND(DZ20="*", OR(DW19="*", DX19="*",DY19="*")),1,"")</f>
        <v/>
      </c>
      <c r="ED19" s="41" t="str">
        <f>IF(AND(DV20="*",OR(DW19="*",DX19="*",DY19="*",DZ19="*")),1,IF(AND(DZ19="*",OR(DV20="*",DW20="*",DX20="*",DY20="*")),1,""))</f>
        <v/>
      </c>
      <c r="EE19" s="41" t="str">
        <f>IF(AND(DW19="*",OR(DW20="*",DX20="*",DY20="*")),1,IF(AND(DX19="*",OR(DW20="*",DX20="*",DY20="*")),1,IF(AND(DY19="*",OR(DW20="*",DX20="*",DY20="*")),1,"")))</f>
        <v/>
      </c>
      <c r="EF19" s="41" t="str">
        <f>IF(AND(DV19="*",DV20="*"),1,"")</f>
        <v/>
      </c>
      <c r="EH19" s="41"/>
      <c r="EI19" s="41"/>
      <c r="EJ19" s="41"/>
      <c r="EK19" s="41"/>
      <c r="EL19" s="41"/>
      <c r="EM19" s="41" t="str">
        <f>IF(AND(EH19="*",OR(EI20="*",EJ20="*",EK20="*")), 1,"")</f>
        <v/>
      </c>
      <c r="EN19" s="41" t="str">
        <f>IF(AND(EH19="*",EL20="*"),1,"")</f>
        <v/>
      </c>
      <c r="EO19" s="41" t="str">
        <f>IF(AND(EL20="*", OR(EI19="*", EJ19="*",EK19="*")),1,"")</f>
        <v/>
      </c>
      <c r="EP19" s="41" t="str">
        <f>IF(AND(EH20="*",OR(EI19="*",EJ19="*",EK19="*",EL19="*")),1,IF(AND(EL19="*",OR(EH20="*",EI20="*",EJ20="*",EK20="*")),1,""))</f>
        <v/>
      </c>
      <c r="EQ19" s="41" t="str">
        <f>IF(AND(EI19="*",OR(EI20="*",EJ20="*",EK20="*")),1,IF(AND(EJ19="*",OR(EI20="*",EJ20="*",EK20="*")),1,IF(AND(EK19="*",OR(EI20="*",EJ20="*",EK20="*")),1,"")))</f>
        <v/>
      </c>
      <c r="ER19" s="41" t="str">
        <f>IF(AND(EH19="*",EH20="*"),1,"")</f>
        <v/>
      </c>
      <c r="ET19" s="41"/>
      <c r="EU19" s="41"/>
      <c r="EV19" s="41"/>
      <c r="EW19" s="41"/>
      <c r="EX19" s="41"/>
      <c r="EY19" s="41" t="str">
        <f>IF(AND(ET19="*",OR(EU20="*",EV20="*",EW20="*")), 1,"")</f>
        <v/>
      </c>
      <c r="EZ19" s="41" t="str">
        <f>IF(AND(ET19="*",EX20="*"),1,"")</f>
        <v/>
      </c>
      <c r="FA19" s="41" t="str">
        <f>IF(AND(EX20="*", OR(EU19="*", EV19="*",EW19="*")),1,"")</f>
        <v/>
      </c>
      <c r="FB19" s="41" t="str">
        <f>IF(AND(ET20="*",OR(EU19="*",EV19="*",EW19="*",EX19="*")),1,IF(AND(EX19="*",OR(ET20="*",EU20="*",EV20="*",EW20="*")),1,""))</f>
        <v/>
      </c>
      <c r="FC19" s="41" t="str">
        <f>IF(AND(EU19="*",OR(EU20="*",EV20="*",EW20="*")),1,IF(AND(EV19="*",OR(EU20="*",EV20="*",EW20="*")),1,IF(AND(EW19="*",OR(EU20="*",EV20="*",EW20="*")),1,"")))</f>
        <v/>
      </c>
      <c r="FD19" s="41" t="str">
        <f>IF(AND(ET19="*",ET20="*"),1,"")</f>
        <v/>
      </c>
      <c r="FF19" s="41"/>
      <c r="FG19" s="41"/>
      <c r="FH19" s="41"/>
      <c r="FI19" s="41"/>
      <c r="FJ19" s="41"/>
      <c r="FK19" s="41" t="str">
        <f>IF(AND(FF19="*",OR(FG20="*",FH20="*",FI20="*")), 1,"")</f>
        <v/>
      </c>
      <c r="FL19" s="41" t="str">
        <f>IF(AND(FF19="*",FJ20="*"),1,"")</f>
        <v/>
      </c>
      <c r="FM19" s="41" t="str">
        <f>IF(AND(FJ20="*", OR(FG19="*", FH19="*",FI19="*")),1,"")</f>
        <v/>
      </c>
      <c r="FN19" s="41" t="str">
        <f>IF(AND(FF20="*",OR(FG19="*",FH19="*",FI19="*",FJ19="*")),1,IF(AND(FJ19="*",OR(FF20="*",FG20="*",FH20="*",FI20="*")),1,""))</f>
        <v/>
      </c>
      <c r="FO19" s="41" t="str">
        <f>IF(AND(FG19="*",OR(FG20="*",FH20="*",FI20="*")),1,IF(AND(FH19="*",OR(FG20="*",FH20="*",FI20="*")),1,IF(AND(FI19="*",OR(FG20="*",FH20="*",FI20="*")),1,"")))</f>
        <v/>
      </c>
      <c r="FP19" s="41" t="str">
        <f>IF(AND(FF19="*",FF20="*"),1,"")</f>
        <v/>
      </c>
      <c r="FR19" s="41"/>
      <c r="FS19" s="41"/>
      <c r="FT19" s="41"/>
      <c r="FU19" s="41"/>
      <c r="FV19" s="41"/>
      <c r="FW19" s="41" t="str">
        <f>IF(AND(FR19="*",OR(FS20="*",FT20="*",FU20="*")), 1,"")</f>
        <v/>
      </c>
      <c r="FX19" s="41" t="str">
        <f>IF(AND(FR19="*",FV20="*"),1,"")</f>
        <v/>
      </c>
      <c r="FY19" s="41" t="str">
        <f>IF(AND(FV20="*", OR(FS19="*", FT19="*",FU19="*")),1,"")</f>
        <v/>
      </c>
      <c r="FZ19" s="41" t="str">
        <f>IF(AND(FR20="*",OR(FS19="*",FT19="*",FU19="*",FV19="*")),1,IF(AND(FV19="*",OR(FR20="*",FS20="*",FT20="*",FU20="*")),1,""))</f>
        <v/>
      </c>
      <c r="GA19" s="41" t="str">
        <f>IF(AND(FS19="*",OR(FS20="*",FT20="*",FU20="*")),1,IF(AND(FT19="*",OR(FS20="*",FT20="*",FU20="*")),1,IF(AND(FU19="*",OR(FS20="*",FT20="*",FU20="*")),1,"")))</f>
        <v/>
      </c>
      <c r="GB19" s="41" t="str">
        <f>IF(AND(FR19="*",FR20="*"),1,"")</f>
        <v/>
      </c>
      <c r="GD19" s="41"/>
      <c r="GE19" s="41"/>
      <c r="GF19" s="41"/>
      <c r="GG19" s="41"/>
      <c r="GH19" s="41"/>
      <c r="GI19" s="41"/>
      <c r="GJ19" s="41" t="str">
        <f>IF(AND(GD19="*",OR(GE20="*",GF20="*",GG20="*")), 1,"")</f>
        <v/>
      </c>
      <c r="GK19" s="41" t="str">
        <f>IF(AND(GD19="*",GH20="*"),1,"")</f>
        <v/>
      </c>
      <c r="GL19" s="41" t="str">
        <f>IF(AND(GH20="*", OR(GE19="*", GF19="*",GG19="*")),1,"")</f>
        <v/>
      </c>
      <c r="GM19" s="41" t="str">
        <f>IF(AND(GD20="*",OR(GE19="*",GF19="*",GG19="*",GH19="*")),1,IF(AND(GH19="*",OR(GD20="*",GE20="*",GF20="*",GG20="*")),1,""))</f>
        <v/>
      </c>
      <c r="GN19" s="41" t="str">
        <f>IF(AND(GE19="*",OR(GE20="*",GF20="*",GG20="*")),1,IF(AND(GF19="*",OR(GE20="*",GF20="*",GG20="*")),1,IF(AND(GG19="*",OR(GE20="*",GF20="*",GG20="*")),1,"")))</f>
        <v/>
      </c>
      <c r="GO19" s="41" t="str">
        <f>IF(AND(GD19="*",GD20="*"),1,"")</f>
        <v/>
      </c>
      <c r="GQ19" s="41"/>
      <c r="GR19" s="41"/>
      <c r="GS19" s="41"/>
      <c r="GT19" s="41"/>
      <c r="GU19" s="41"/>
      <c r="GV19" s="41" t="str">
        <f>IF(AND(GQ19="*",OR(GR20="*",GS20="*",GT20="*")), 1,"")</f>
        <v/>
      </c>
      <c r="GW19" s="41" t="str">
        <f>IF(AND(GQ19="*",GU20="*"),1,"")</f>
        <v/>
      </c>
      <c r="GX19" s="41" t="str">
        <f>IF(AND(GU20="*", OR(GR19="*", GS19="*",GT19="*")),1,"")</f>
        <v/>
      </c>
      <c r="GY19" s="41" t="str">
        <f>IF(AND(GQ20="*",OR(GR19="*",GS19="*",GT19="*",GU19="*")),1,IF(AND(GU19="*",OR(GQ20="*",GR20="*",GS20="*",GT20="*")),1,""))</f>
        <v/>
      </c>
      <c r="GZ19" s="41" t="str">
        <f>IF(AND(GR19="*",OR(GR20="*",GS20="*",GT20="*")),1,IF(AND(GS19="*",OR(GR20="*",GS20="*",GT20="*")),1,IF(AND(GT19="*",OR(GR20="*",GS20="*",GT20="*")),1,"")))</f>
        <v/>
      </c>
      <c r="HA19" s="41" t="str">
        <f>IF(AND(GQ19="*",GQ20="*"),1,"")</f>
        <v/>
      </c>
      <c r="HC19" s="41"/>
      <c r="HD19" s="41"/>
      <c r="HE19" s="41"/>
      <c r="HF19" s="41"/>
      <c r="HG19" s="41"/>
      <c r="HH19" s="41" t="str">
        <f>IF(AND(HC19="*",OR(HD20="*",HE20="*",HF20="*")), 1,"")</f>
        <v/>
      </c>
      <c r="HI19" s="41" t="str">
        <f>IF(AND(HC19="*",HG20="*"),1,"")</f>
        <v/>
      </c>
      <c r="HJ19" s="41" t="str">
        <f>IF(AND(HG20="*", OR(HD19="*", HE19="*",HF19="*")),1,"")</f>
        <v/>
      </c>
      <c r="HK19" s="41" t="str">
        <f>IF(AND(HC20="*",OR(HD19="*",HE19="*",HF19="*",HG19="*")),1,IF(AND(HG19="*",OR(HC20="*",HD20="*",HE20="*",HF20="*")),1,""))</f>
        <v/>
      </c>
      <c r="HL19" s="41" t="str">
        <f>IF(AND(HD19="*",OR(HD20="*",HE20="*",HF20="*")),1,IF(AND(HE19="*",OR(HD20="*",HE20="*",HF20="*")),1,IF(AND(HF19="*",OR(HD20="*",HE20="*",HF20="*")),1,"")))</f>
        <v/>
      </c>
      <c r="HM19" s="41" t="str">
        <f>IF(AND(HC19="*",HC20="*"),1,"")</f>
        <v/>
      </c>
      <c r="HO19" s="41"/>
      <c r="HP19" s="41"/>
      <c r="HQ19" s="41"/>
      <c r="HR19" s="41"/>
      <c r="HS19" s="41"/>
      <c r="HT19" s="41" t="str">
        <f>IF(AND(HO19="*",OR(HP20="*",HQ20="*",HR20="*")), 1,"")</f>
        <v/>
      </c>
      <c r="HU19" s="41" t="str">
        <f>IF(AND(HO19="*",HS20="*"),1,"")</f>
        <v/>
      </c>
      <c r="HV19" s="41" t="str">
        <f>IF(AND(HS20="*", OR(HP19="*", HQ19="*",HR19="*")),1,"")</f>
        <v/>
      </c>
      <c r="HW19" s="41" t="str">
        <f>IF(AND(HO20="*",OR(HP19="*",HQ19="*",HR19="*",HS19="*")),1,IF(AND(HS19="*",OR(HO20="*",HP20="*",HQ20="*",HR20="*")),1,""))</f>
        <v/>
      </c>
      <c r="HX19" s="41" t="str">
        <f>IF(AND(HP19="*",OR(HP20="*",HQ20="*",HR20="*")),1,IF(AND(HQ19="*",OR(HP20="*",HQ20="*",HR20="*")),1,IF(AND(HR19="*",OR(HP20="*",HQ20="*",HR20="*")),1,"")))</f>
        <v/>
      </c>
      <c r="HY19" s="41" t="str">
        <f>IF(AND(HO19="*",HO20="*"),1,"")</f>
        <v/>
      </c>
      <c r="IA19" s="41"/>
      <c r="IB19" s="41"/>
      <c r="IC19" s="41"/>
      <c r="ID19" s="41"/>
      <c r="IE19" s="41"/>
      <c r="IF19" s="41" t="str">
        <f>IF(AND(IA19="*",OR(IB20="*",IC20="*",ID20="*")), 1,"")</f>
        <v/>
      </c>
      <c r="IG19" s="41" t="str">
        <f>IF(AND(IA19="*",IE20="*"),1,"")</f>
        <v/>
      </c>
      <c r="IH19" s="41" t="str">
        <f>IF(AND(IE20="*", OR(IB19="*", IC19="*",ID19="*")),1,"")</f>
        <v/>
      </c>
      <c r="II19" s="41" t="str">
        <f>IF(AND(IA20="*",OR(IB19="*",IC19="*",ID19="*",IE19="*")),1,IF(AND(IE19="*",OR(IA20="*",IB20="*",IC20="*",ID20="*")),1,""))</f>
        <v/>
      </c>
      <c r="IJ19" s="41" t="str">
        <f>IF(AND(IB19="*",OR(IB20="*",IC20="*",ID20="*")),1,IF(AND(IC19="*",OR(IB20="*",IC20="*",ID20="*")),1,IF(AND(ID19="*",OR(IB20="*",IC20="*",ID20="*")),1,"")))</f>
        <v/>
      </c>
      <c r="IK19" s="41" t="str">
        <f>IF(AND(IA19="*",IA20="*"),1,"")</f>
        <v/>
      </c>
      <c r="IL19" s="41">
        <f>COUNT(J19,V19,AH19,AT19,BF19,BS19,CE19,CQ19,DC19,DO19,EA19,EM19,EY19,FK19,FW19,GJ19,GV19,HH19,HT19,IF19)</f>
        <v>0</v>
      </c>
      <c r="IM19" s="41">
        <f t="shared" ref="IM19:IQ19" si="8">COUNT(K19,W19,AI19,AU19,BG19,BT19,CF19,CR19,DD19,DP19,EB19,EN19,EZ19,FL19,FX19,GK19,GW19,HI19,HU19,IG19)</f>
        <v>0</v>
      </c>
      <c r="IN19" s="41">
        <f t="shared" si="8"/>
        <v>0</v>
      </c>
      <c r="IO19" s="41">
        <f t="shared" si="8"/>
        <v>0</v>
      </c>
      <c r="IP19" s="41">
        <f t="shared" si="8"/>
        <v>0</v>
      </c>
      <c r="IQ19" s="41">
        <f t="shared" si="8"/>
        <v>0</v>
      </c>
    </row>
    <row r="20" spans="2:251" ht="15" customHeight="1" x14ac:dyDescent="0.4">
      <c r="B20" s="277"/>
      <c r="C20" s="279"/>
      <c r="D20" s="42" t="s">
        <v>59</v>
      </c>
      <c r="E20" s="41"/>
      <c r="F20" s="41"/>
      <c r="G20" s="41"/>
      <c r="H20" s="41"/>
      <c r="I20" s="41"/>
      <c r="J20" s="43"/>
      <c r="K20" s="43"/>
      <c r="L20" s="43"/>
      <c r="M20" s="43"/>
      <c r="N20" s="43"/>
      <c r="O20" s="43"/>
      <c r="Q20" s="41"/>
      <c r="R20" s="41"/>
      <c r="S20" s="41"/>
      <c r="T20" s="41"/>
      <c r="U20" s="41"/>
      <c r="V20" s="43"/>
      <c r="W20" s="43"/>
      <c r="X20" s="43"/>
      <c r="Y20" s="43"/>
      <c r="Z20" s="43"/>
      <c r="AA20" s="43"/>
      <c r="AC20" s="41"/>
      <c r="AD20" s="41"/>
      <c r="AE20" s="41"/>
      <c r="AF20" s="41"/>
      <c r="AG20" s="41"/>
      <c r="AH20" s="43"/>
      <c r="AI20" s="43"/>
      <c r="AJ20" s="43"/>
      <c r="AK20" s="43"/>
      <c r="AL20" s="43"/>
      <c r="AM20" s="43"/>
      <c r="AO20" s="41"/>
      <c r="AP20" s="41"/>
      <c r="AQ20" s="41"/>
      <c r="AR20" s="41"/>
      <c r="AS20" s="41"/>
      <c r="AT20" s="43"/>
      <c r="AU20" s="43"/>
      <c r="AV20" s="43"/>
      <c r="AW20" s="43"/>
      <c r="AX20" s="43"/>
      <c r="AY20" s="43"/>
      <c r="BA20" s="41"/>
      <c r="BB20" s="41"/>
      <c r="BC20" s="41"/>
      <c r="BD20" s="41"/>
      <c r="BE20" s="41"/>
      <c r="BF20" s="43"/>
      <c r="BG20" s="43"/>
      <c r="BH20" s="43"/>
      <c r="BI20" s="43"/>
      <c r="BJ20" s="43"/>
      <c r="BK20" s="43"/>
      <c r="BM20" s="41"/>
      <c r="BN20" s="41"/>
      <c r="BO20" s="41"/>
      <c r="BP20" s="41"/>
      <c r="BQ20" s="41"/>
      <c r="BR20" s="41"/>
      <c r="BS20" s="43"/>
      <c r="BT20" s="43"/>
      <c r="BU20" s="43"/>
      <c r="BV20" s="43"/>
      <c r="BW20" s="43"/>
      <c r="BX20" s="43"/>
      <c r="BZ20" s="41"/>
      <c r="CA20" s="41"/>
      <c r="CB20" s="41"/>
      <c r="CC20" s="41"/>
      <c r="CD20" s="41"/>
      <c r="CE20" s="43"/>
      <c r="CF20" s="43"/>
      <c r="CG20" s="43"/>
      <c r="CH20" s="43"/>
      <c r="CI20" s="43"/>
      <c r="CJ20" s="43"/>
      <c r="CL20" s="41"/>
      <c r="CM20" s="41"/>
      <c r="CN20" s="41"/>
      <c r="CO20" s="41"/>
      <c r="CP20" s="41"/>
      <c r="CQ20" s="43"/>
      <c r="CR20" s="43"/>
      <c r="CS20" s="43"/>
      <c r="CT20" s="43"/>
      <c r="CU20" s="43"/>
      <c r="CV20" s="43"/>
      <c r="CX20" s="41"/>
      <c r="CY20" s="41"/>
      <c r="CZ20" s="41"/>
      <c r="DA20" s="41"/>
      <c r="DB20" s="41"/>
      <c r="DC20" s="43"/>
      <c r="DD20" s="43"/>
      <c r="DE20" s="43"/>
      <c r="DF20" s="43"/>
      <c r="DG20" s="43"/>
      <c r="DH20" s="43"/>
      <c r="DJ20" s="41"/>
      <c r="DK20" s="41"/>
      <c r="DL20" s="41"/>
      <c r="DM20" s="41"/>
      <c r="DN20" s="41"/>
      <c r="DO20" s="43"/>
      <c r="DP20" s="43"/>
      <c r="DQ20" s="43"/>
      <c r="DR20" s="43"/>
      <c r="DS20" s="43"/>
      <c r="DT20" s="43"/>
      <c r="DV20" s="41"/>
      <c r="DW20" s="41"/>
      <c r="DX20" s="41"/>
      <c r="DY20" s="41"/>
      <c r="DZ20" s="41"/>
      <c r="EA20" s="43"/>
      <c r="EB20" s="43"/>
      <c r="EC20" s="43"/>
      <c r="ED20" s="43"/>
      <c r="EE20" s="43"/>
      <c r="EF20" s="43"/>
      <c r="EH20" s="41"/>
      <c r="EI20" s="41"/>
      <c r="EJ20" s="41"/>
      <c r="EK20" s="41"/>
      <c r="EL20" s="41"/>
      <c r="EM20" s="43"/>
      <c r="EN20" s="43"/>
      <c r="EO20" s="43"/>
      <c r="EP20" s="43"/>
      <c r="EQ20" s="43"/>
      <c r="ER20" s="43"/>
      <c r="ET20" s="41"/>
      <c r="EU20" s="41"/>
      <c r="EV20" s="41"/>
      <c r="EW20" s="41"/>
      <c r="EX20" s="41"/>
      <c r="EY20" s="43"/>
      <c r="EZ20" s="43"/>
      <c r="FA20" s="43"/>
      <c r="FB20" s="43"/>
      <c r="FC20" s="43"/>
      <c r="FD20" s="43"/>
      <c r="FF20" s="41"/>
      <c r="FG20" s="41"/>
      <c r="FH20" s="41"/>
      <c r="FI20" s="41"/>
      <c r="FJ20" s="41"/>
      <c r="FK20" s="43"/>
      <c r="FL20" s="43"/>
      <c r="FM20" s="43"/>
      <c r="FN20" s="43"/>
      <c r="FO20" s="43"/>
      <c r="FP20" s="43"/>
      <c r="FR20" s="41"/>
      <c r="FS20" s="41"/>
      <c r="FT20" s="41"/>
      <c r="FU20" s="41"/>
      <c r="FV20" s="41"/>
      <c r="FW20" s="43"/>
      <c r="FX20" s="43"/>
      <c r="FY20" s="43"/>
      <c r="FZ20" s="43"/>
      <c r="GA20" s="43"/>
      <c r="GB20" s="43"/>
      <c r="GD20" s="41"/>
      <c r="GE20" s="41"/>
      <c r="GF20" s="41"/>
      <c r="GG20" s="41"/>
      <c r="GH20" s="41"/>
      <c r="GI20" s="41"/>
      <c r="GJ20" s="43"/>
      <c r="GK20" s="43"/>
      <c r="GL20" s="43"/>
      <c r="GM20" s="43"/>
      <c r="GN20" s="43"/>
      <c r="GO20" s="43"/>
      <c r="GQ20" s="41"/>
      <c r="GR20" s="41"/>
      <c r="GS20" s="41"/>
      <c r="GT20" s="41"/>
      <c r="GU20" s="41"/>
      <c r="GV20" s="43"/>
      <c r="GW20" s="43"/>
      <c r="GX20" s="43"/>
      <c r="GY20" s="43"/>
      <c r="GZ20" s="43"/>
      <c r="HA20" s="43"/>
      <c r="HC20" s="41"/>
      <c r="HD20" s="41"/>
      <c r="HE20" s="41"/>
      <c r="HF20" s="41"/>
      <c r="HG20" s="41"/>
      <c r="HH20" s="43"/>
      <c r="HI20" s="43"/>
      <c r="HJ20" s="43"/>
      <c r="HK20" s="43"/>
      <c r="HL20" s="43"/>
      <c r="HM20" s="43"/>
      <c r="HO20" s="41"/>
      <c r="HP20" s="41"/>
      <c r="HQ20" s="41"/>
      <c r="HR20" s="41"/>
      <c r="HS20" s="41"/>
      <c r="HT20" s="43"/>
      <c r="HU20" s="43"/>
      <c r="HV20" s="43"/>
      <c r="HW20" s="43"/>
      <c r="HX20" s="43"/>
      <c r="HY20" s="43"/>
      <c r="IA20" s="41"/>
      <c r="IB20" s="41"/>
      <c r="IC20" s="41"/>
      <c r="ID20" s="41"/>
      <c r="IE20" s="41"/>
      <c r="IF20" s="43"/>
      <c r="IG20" s="43"/>
      <c r="IH20" s="43"/>
      <c r="II20" s="43"/>
      <c r="IJ20" s="43"/>
      <c r="IK20" s="43"/>
    </row>
    <row r="21" spans="2:251" ht="15" customHeight="1" x14ac:dyDescent="0.4">
      <c r="B21" s="273">
        <v>10</v>
      </c>
      <c r="C21" s="274">
        <f>고객요구사항도출표!C14</f>
        <v>0</v>
      </c>
      <c r="D21" s="40" t="s">
        <v>60</v>
      </c>
      <c r="E21" s="44"/>
      <c r="F21" s="44"/>
      <c r="G21" s="44"/>
      <c r="H21" s="44"/>
      <c r="I21" s="44"/>
      <c r="J21" s="44" t="str">
        <f>IF(AND(E21="*",OR(F22="*",G22="*",H22="*")), 1,"")</f>
        <v/>
      </c>
      <c r="K21" s="44" t="str">
        <f>IF(AND(E21="*",I22="*"),1,"")</f>
        <v/>
      </c>
      <c r="L21" s="44" t="str">
        <f>IF(AND(I22="*", OR(F21="*", G21="*",H21="*")),1,"")</f>
        <v/>
      </c>
      <c r="M21" s="44" t="str">
        <f>IF(AND(E22="*",OR(F21="*",G21="*",H21="*",I21="*")),1,IF(AND(I21="*",OR(E22="*",F22="*",G22="*",H22="*")),1,""))</f>
        <v/>
      </c>
      <c r="N21" s="44" t="str">
        <f>IF(AND(F21="*",OR(F22="*",G22="*",H22="*")),1,IF(AND(G21="*",OR(F22="*",G22="*",H22="*")),1,IF(AND(H21="*",OR(F22="*",G22="*",H22="*")),1,"")))</f>
        <v/>
      </c>
      <c r="O21" s="44" t="str">
        <f>IF(AND(E21="*",E22="*"),1,"")</f>
        <v/>
      </c>
      <c r="Q21" s="44"/>
      <c r="R21" s="44"/>
      <c r="S21" s="44"/>
      <c r="T21" s="44"/>
      <c r="U21" s="44"/>
      <c r="V21" s="44" t="str">
        <f>IF(AND(Q21="*",OR(R22="*",S22="*",T22="*")), 1,"")</f>
        <v/>
      </c>
      <c r="W21" s="44" t="str">
        <f>IF(AND(Q21="*",U22="*"),1,"")</f>
        <v/>
      </c>
      <c r="X21" s="44" t="str">
        <f>IF(AND(U22="*", OR(R21="*", S21="*",T21="*")),1,"")</f>
        <v/>
      </c>
      <c r="Y21" s="44" t="str">
        <f>IF(AND(Q22="*",OR(R21="*",S21="*",T21="*",U21="*")),1,IF(AND(U21="*",OR(Q22="*",R22="*",S22="*",T22="*")),1,""))</f>
        <v/>
      </c>
      <c r="Z21" s="44" t="str">
        <f>IF(AND(R21="*",OR(R22="*",S22="*",T22="*")),1,IF(AND(S21="*",OR(R22="*",S22="*",T22="*")),1,IF(AND(T21="*",OR(R22="*",S22="*",T22="*")),1,"")))</f>
        <v/>
      </c>
      <c r="AA21" s="44" t="str">
        <f>IF(AND(Q21="*",Q22="*"),1,"")</f>
        <v/>
      </c>
      <c r="AC21" s="44"/>
      <c r="AD21" s="44"/>
      <c r="AE21" s="44"/>
      <c r="AF21" s="44"/>
      <c r="AG21" s="44"/>
      <c r="AH21" s="44" t="str">
        <f>IF(AND(AC21="*",OR(AD22="*",AE22="*",AF22="*")), 1,"")</f>
        <v/>
      </c>
      <c r="AI21" s="44" t="str">
        <f>IF(AND(AC21="*",AG22="*"),1,"")</f>
        <v/>
      </c>
      <c r="AJ21" s="44" t="str">
        <f>IF(AND(AG22="*", OR(AD21="*", AE21="*",AF21="*")),1,"")</f>
        <v/>
      </c>
      <c r="AK21" s="44" t="str">
        <f>IF(AND(AC22="*",OR(AD21="*",AE21="*",AF21="*",AG21="*")),1,IF(AND(AG21="*",OR(AC22="*",AD22="*",AE22="*",AF22="*")),1,""))</f>
        <v/>
      </c>
      <c r="AL21" s="44" t="str">
        <f>IF(AND(AD21="*",OR(AD22="*",AE22="*",AF22="*")),1,IF(AND(AE21="*",OR(AD22="*",AE22="*",AF22="*")),1,IF(AND(AF21="*",OR(AD22="*",AE22="*",AF22="*")),1,"")))</f>
        <v/>
      </c>
      <c r="AM21" s="44" t="str">
        <f>IF(AND(AC21="*",AC22="*"),1,"")</f>
        <v/>
      </c>
      <c r="AO21" s="44"/>
      <c r="AP21" s="44"/>
      <c r="AQ21" s="44"/>
      <c r="AR21" s="44"/>
      <c r="AS21" s="44"/>
      <c r="AT21" s="44" t="str">
        <f>IF(AND(AO21="*",OR(AP22="*",AQ22="*",AR22="*")), 1,"")</f>
        <v/>
      </c>
      <c r="AU21" s="44" t="str">
        <f>IF(AND(AO21="*",AS22="*"),1,"")</f>
        <v/>
      </c>
      <c r="AV21" s="44" t="str">
        <f>IF(AND(AS22="*", OR(AP21="*", AQ21="*",AR21="*")),1,"")</f>
        <v/>
      </c>
      <c r="AW21" s="44" t="str">
        <f>IF(AND(AO22="*",OR(AP21="*",AQ21="*",AR21="*",AS21="*")),1,IF(AND(AS21="*",OR(AO22="*",AP22="*",AQ22="*",AR22="*")),1,""))</f>
        <v/>
      </c>
      <c r="AX21" s="44" t="str">
        <f>IF(AND(AP21="*",OR(AP22="*",AQ22="*",AR22="*")),1,IF(AND(AQ21="*",OR(AP22="*",AQ22="*",AR22="*")),1,IF(AND(AR21="*",OR(AP22="*",AQ22="*",AR22="*")),1,"")))</f>
        <v/>
      </c>
      <c r="AY21" s="44" t="str">
        <f>IF(AND(AO21="*",AO22="*"),1,"")</f>
        <v/>
      </c>
      <c r="BA21" s="44"/>
      <c r="BB21" s="44"/>
      <c r="BC21" s="44"/>
      <c r="BD21" s="44"/>
      <c r="BE21" s="44"/>
      <c r="BF21" s="44" t="str">
        <f>IF(AND(BA21="*",OR(BB22="*",BC22="*",BD22="*")), 1,"")</f>
        <v/>
      </c>
      <c r="BG21" s="44" t="str">
        <f>IF(AND(BA21="*",BE22="*"),1,"")</f>
        <v/>
      </c>
      <c r="BH21" s="44" t="str">
        <f>IF(AND(BE22="*", OR(BB21="*", BC21="*",BD21="*")),1,"")</f>
        <v/>
      </c>
      <c r="BI21" s="44" t="str">
        <f>IF(AND(BA22="*",OR(BB21="*",BC21="*",BD21="*",BE21="*")),1,IF(AND(BE21="*",OR(BA22="*",BB22="*",BC22="*",BD22="*")),1,""))</f>
        <v/>
      </c>
      <c r="BJ21" s="44" t="str">
        <f>IF(AND(BB21="*",OR(BB22="*",BC22="*",BD22="*")),1,IF(AND(BC21="*",OR(BB22="*",BC22="*",BD22="*")),1,IF(AND(BD21="*",OR(BB22="*",BC22="*",BD22="*")),1,"")))</f>
        <v/>
      </c>
      <c r="BK21" s="44" t="str">
        <f>IF(AND(BA21="*",BA22="*"),1,"")</f>
        <v/>
      </c>
      <c r="BM21" s="44"/>
      <c r="BN21" s="44"/>
      <c r="BO21" s="44"/>
      <c r="BP21" s="44"/>
      <c r="BQ21" s="44"/>
      <c r="BR21" s="44"/>
      <c r="BS21" s="44" t="str">
        <f>IF(AND(BM21="*",OR(BN22="*",BO22="*",BP22="*")), 1,"")</f>
        <v/>
      </c>
      <c r="BT21" s="44" t="str">
        <f>IF(AND(BM21="*",BQ22="*"),1,"")</f>
        <v/>
      </c>
      <c r="BU21" s="44" t="str">
        <f>IF(AND(BQ22="*", OR(BN21="*", BO21="*",BP21="*")),1,"")</f>
        <v/>
      </c>
      <c r="BV21" s="44" t="str">
        <f>IF(AND(BM22="*",OR(BN21="*",BO21="*",BP21="*",BQ21="*")),1,IF(AND(BQ21="*",OR(BM22="*",BN22="*",BO22="*",BP22="*")),1,""))</f>
        <v/>
      </c>
      <c r="BW21" s="44" t="str">
        <f>IF(AND(BN21="*",OR(BN22="*",BO22="*",BP22="*")),1,IF(AND(BO21="*",OR(BN22="*",BO22="*",BP22="*")),1,IF(AND(BP21="*",OR(BN22="*",BO22="*",BP22="*")),1,"")))</f>
        <v/>
      </c>
      <c r="BX21" s="44" t="str">
        <f>IF(AND(BM21="*",BM22="*"),1,"")</f>
        <v/>
      </c>
      <c r="BZ21" s="44"/>
      <c r="CA21" s="44"/>
      <c r="CB21" s="44"/>
      <c r="CC21" s="44"/>
      <c r="CD21" s="44"/>
      <c r="CE21" s="44" t="str">
        <f>IF(AND(BZ21="*",OR(CA22="*",CB22="*",CC22="*")), 1,"")</f>
        <v/>
      </c>
      <c r="CF21" s="44" t="str">
        <f>IF(AND(BZ21="*",CD22="*"),1,"")</f>
        <v/>
      </c>
      <c r="CG21" s="44" t="str">
        <f>IF(AND(CD22="*", OR(CA21="*", CB21="*",CC21="*")),1,"")</f>
        <v/>
      </c>
      <c r="CH21" s="44" t="str">
        <f>IF(AND(BZ22="*",OR(CA21="*",CB21="*",CC21="*",CD21="*")),1,IF(AND(CD21="*",OR(BZ22="*",CA22="*",CB22="*",CC22="*")),1,""))</f>
        <v/>
      </c>
      <c r="CI21" s="44" t="str">
        <f>IF(AND(CA21="*",OR(CA22="*",CB22="*",CC22="*")),1,IF(AND(CB21="*",OR(CA22="*",CB22="*",CC22="*")),1,IF(AND(CC21="*",OR(CA22="*",CB22="*",CC22="*")),1,"")))</f>
        <v/>
      </c>
      <c r="CJ21" s="44" t="str">
        <f>IF(AND(BZ21="*",BZ22="*"),1,"")</f>
        <v/>
      </c>
      <c r="CL21" s="44"/>
      <c r="CM21" s="44"/>
      <c r="CN21" s="44"/>
      <c r="CO21" s="44"/>
      <c r="CP21" s="44"/>
      <c r="CQ21" s="44" t="str">
        <f>IF(AND(CL21="*",OR(CM22="*",CN22="*",CO22="*")), 1,"")</f>
        <v/>
      </c>
      <c r="CR21" s="44" t="str">
        <f>IF(AND(CL21="*",CP22="*"),1,"")</f>
        <v/>
      </c>
      <c r="CS21" s="44" t="str">
        <f>IF(AND(CP22="*", OR(CM21="*", CN21="*",CO21="*")),1,"")</f>
        <v/>
      </c>
      <c r="CT21" s="44" t="str">
        <f>IF(AND(CL22="*",OR(CM21="*",CN21="*",CO21="*",CP21="*")),1,IF(AND(CP21="*",OR(CL22="*",CM22="*",CN22="*",CO22="*")),1,""))</f>
        <v/>
      </c>
      <c r="CU21" s="44" t="str">
        <f>IF(AND(CM21="*",OR(CM22="*",CN22="*",CO22="*")),1,IF(AND(CN21="*",OR(CM22="*",CN22="*",CO22="*")),1,IF(AND(CO21="*",OR(CM22="*",CN22="*",CO22="*")),1,"")))</f>
        <v/>
      </c>
      <c r="CV21" s="44" t="str">
        <f>IF(AND(CL21="*",CL22="*"),1,"")</f>
        <v/>
      </c>
      <c r="CX21" s="44"/>
      <c r="CY21" s="44"/>
      <c r="CZ21" s="44"/>
      <c r="DA21" s="44"/>
      <c r="DB21" s="44"/>
      <c r="DC21" s="44" t="str">
        <f>IF(AND(CX21="*",OR(CY22="*",CZ22="*",DA22="*")), 1,"")</f>
        <v/>
      </c>
      <c r="DD21" s="44" t="str">
        <f>IF(AND(CX21="*",DB22="*"),1,"")</f>
        <v/>
      </c>
      <c r="DE21" s="44" t="str">
        <f>IF(AND(DB22="*", OR(CY21="*", CZ21="*",DA21="*")),1,"")</f>
        <v/>
      </c>
      <c r="DF21" s="44" t="str">
        <f>IF(AND(CX22="*",OR(CY21="*",CZ21="*",DA21="*",DB21="*")),1,IF(AND(DB21="*",OR(CX22="*",CY22="*",CZ22="*",DA22="*")),1,""))</f>
        <v/>
      </c>
      <c r="DG21" s="44" t="str">
        <f>IF(AND(CY21="*",OR(CY22="*",CZ22="*",DA22="*")),1,IF(AND(CZ21="*",OR(CY22="*",CZ22="*",DA22="*")),1,IF(AND(DA21="*",OR(CY22="*",CZ22="*",DA22="*")),1,"")))</f>
        <v/>
      </c>
      <c r="DH21" s="44" t="str">
        <f>IF(AND(CX21="*",CX22="*"),1,"")</f>
        <v/>
      </c>
      <c r="DJ21" s="44"/>
      <c r="DK21" s="44"/>
      <c r="DL21" s="44"/>
      <c r="DM21" s="44"/>
      <c r="DN21" s="44"/>
      <c r="DO21" s="44" t="str">
        <f>IF(AND(DJ21="*",OR(DK22="*",DL22="*",DM22="*")), 1,"")</f>
        <v/>
      </c>
      <c r="DP21" s="44" t="str">
        <f>IF(AND(DJ21="*",DN22="*"),1,"")</f>
        <v/>
      </c>
      <c r="DQ21" s="44" t="str">
        <f>IF(AND(DN22="*", OR(DK21="*", DL21="*",DM21="*")),1,"")</f>
        <v/>
      </c>
      <c r="DR21" s="44" t="str">
        <f>IF(AND(DJ22="*",OR(DK21="*",DL21="*",DM21="*",DN21="*")),1,IF(AND(DN21="*",OR(DJ22="*",DK22="*",DL22="*",DM22="*")),1,""))</f>
        <v/>
      </c>
      <c r="DS21" s="44" t="str">
        <f>IF(AND(DK21="*",OR(DK22="*",DL22="*",DM22="*")),1,IF(AND(DL21="*",OR(DK22="*",DL22="*",DM22="*")),1,IF(AND(DM21="*",OR(DK22="*",DL22="*",DM22="*")),1,"")))</f>
        <v/>
      </c>
      <c r="DT21" s="44" t="str">
        <f>IF(AND(DJ21="*",DJ22="*"),1,"")</f>
        <v/>
      </c>
      <c r="DV21" s="44"/>
      <c r="DW21" s="44"/>
      <c r="DX21" s="44"/>
      <c r="DY21" s="44"/>
      <c r="DZ21" s="44"/>
      <c r="EA21" s="44" t="str">
        <f>IF(AND(DV21="*",OR(DW22="*",DX22="*",DY22="*")), 1,"")</f>
        <v/>
      </c>
      <c r="EB21" s="44" t="str">
        <f>IF(AND(DV21="*",DZ22="*"),1,"")</f>
        <v/>
      </c>
      <c r="EC21" s="44" t="str">
        <f>IF(AND(DZ22="*", OR(DW21="*", DX21="*",DY21="*")),1,"")</f>
        <v/>
      </c>
      <c r="ED21" s="44" t="str">
        <f>IF(AND(DV22="*",OR(DW21="*",DX21="*",DY21="*",DZ21="*")),1,IF(AND(DZ21="*",OR(DV22="*",DW22="*",DX22="*",DY22="*")),1,""))</f>
        <v/>
      </c>
      <c r="EE21" s="44" t="str">
        <f>IF(AND(DW21="*",OR(DW22="*",DX22="*",DY22="*")),1,IF(AND(DX21="*",OR(DW22="*",DX22="*",DY22="*")),1,IF(AND(DY21="*",OR(DW22="*",DX22="*",DY22="*")),1,"")))</f>
        <v/>
      </c>
      <c r="EF21" s="44" t="str">
        <f>IF(AND(DV21="*",DV22="*"),1,"")</f>
        <v/>
      </c>
      <c r="EH21" s="44"/>
      <c r="EI21" s="44"/>
      <c r="EJ21" s="44"/>
      <c r="EK21" s="44"/>
      <c r="EL21" s="44"/>
      <c r="EM21" s="44" t="str">
        <f>IF(AND(EH21="*",OR(EI22="*",EJ22="*",EK22="*")), 1,"")</f>
        <v/>
      </c>
      <c r="EN21" s="44" t="str">
        <f>IF(AND(EH21="*",EL22="*"),1,"")</f>
        <v/>
      </c>
      <c r="EO21" s="44" t="str">
        <f>IF(AND(EL22="*", OR(EI21="*", EJ21="*",EK21="*")),1,"")</f>
        <v/>
      </c>
      <c r="EP21" s="44" t="str">
        <f>IF(AND(EH22="*",OR(EI21="*",EJ21="*",EK21="*",EL21="*")),1,IF(AND(EL21="*",OR(EH22="*",EI22="*",EJ22="*",EK22="*")),1,""))</f>
        <v/>
      </c>
      <c r="EQ21" s="44" t="str">
        <f>IF(AND(EI21="*",OR(EI22="*",EJ22="*",EK22="*")),1,IF(AND(EJ21="*",OR(EI22="*",EJ22="*",EK22="*")),1,IF(AND(EK21="*",OR(EI22="*",EJ22="*",EK22="*")),1,"")))</f>
        <v/>
      </c>
      <c r="ER21" s="44" t="str">
        <f>IF(AND(EH21="*",EH22="*"),1,"")</f>
        <v/>
      </c>
      <c r="ET21" s="44"/>
      <c r="EU21" s="44"/>
      <c r="EV21" s="44"/>
      <c r="EW21" s="44"/>
      <c r="EX21" s="44"/>
      <c r="EY21" s="44" t="str">
        <f>IF(AND(ET21="*",OR(EU22="*",EV22="*",EW22="*")), 1,"")</f>
        <v/>
      </c>
      <c r="EZ21" s="44" t="str">
        <f>IF(AND(ET21="*",EX22="*"),1,"")</f>
        <v/>
      </c>
      <c r="FA21" s="44" t="str">
        <f>IF(AND(EX22="*", OR(EU21="*", EV21="*",EW21="*")),1,"")</f>
        <v/>
      </c>
      <c r="FB21" s="44" t="str">
        <f>IF(AND(ET22="*",OR(EU21="*",EV21="*",EW21="*",EX21="*")),1,IF(AND(EX21="*",OR(ET22="*",EU22="*",EV22="*",EW22="*")),1,""))</f>
        <v/>
      </c>
      <c r="FC21" s="44" t="str">
        <f>IF(AND(EU21="*",OR(EU22="*",EV22="*",EW22="*")),1,IF(AND(EV21="*",OR(EU22="*",EV22="*",EW22="*")),1,IF(AND(EW21="*",OR(EU22="*",EV22="*",EW22="*")),1,"")))</f>
        <v/>
      </c>
      <c r="FD21" s="44" t="str">
        <f>IF(AND(ET21="*",ET22="*"),1,"")</f>
        <v/>
      </c>
      <c r="FF21" s="44"/>
      <c r="FG21" s="44"/>
      <c r="FH21" s="44"/>
      <c r="FI21" s="44"/>
      <c r="FJ21" s="44"/>
      <c r="FK21" s="44" t="str">
        <f>IF(AND(FF21="*",OR(FG22="*",FH22="*",FI22="*")), 1,"")</f>
        <v/>
      </c>
      <c r="FL21" s="44" t="str">
        <f>IF(AND(FF21="*",FJ22="*"),1,"")</f>
        <v/>
      </c>
      <c r="FM21" s="44" t="str">
        <f>IF(AND(FJ22="*", OR(FG21="*", FH21="*",FI21="*")),1,"")</f>
        <v/>
      </c>
      <c r="FN21" s="44" t="str">
        <f>IF(AND(FF22="*",OR(FG21="*",FH21="*",FI21="*",FJ21="*")),1,IF(AND(FJ21="*",OR(FF22="*",FG22="*",FH22="*",FI22="*")),1,""))</f>
        <v/>
      </c>
      <c r="FO21" s="44" t="str">
        <f>IF(AND(FG21="*",OR(FG22="*",FH22="*",FI22="*")),1,IF(AND(FH21="*",OR(FG22="*",FH22="*",FI22="*")),1,IF(AND(FI21="*",OR(FG22="*",FH22="*",FI22="*")),1,"")))</f>
        <v/>
      </c>
      <c r="FP21" s="44" t="str">
        <f>IF(AND(FF21="*",FF22="*"),1,"")</f>
        <v/>
      </c>
      <c r="FR21" s="44"/>
      <c r="FS21" s="44"/>
      <c r="FT21" s="44"/>
      <c r="FU21" s="44"/>
      <c r="FV21" s="44"/>
      <c r="FW21" s="44" t="str">
        <f>IF(AND(FR21="*",OR(FS22="*",FT22="*",FU22="*")), 1,"")</f>
        <v/>
      </c>
      <c r="FX21" s="44" t="str">
        <f>IF(AND(FR21="*",FV22="*"),1,"")</f>
        <v/>
      </c>
      <c r="FY21" s="44" t="str">
        <f>IF(AND(FV22="*", OR(FS21="*", FT21="*",FU21="*")),1,"")</f>
        <v/>
      </c>
      <c r="FZ21" s="44" t="str">
        <f>IF(AND(FR22="*",OR(FS21="*",FT21="*",FU21="*",FV21="*")),1,IF(AND(FV21="*",OR(FR22="*",FS22="*",FT22="*",FU22="*")),1,""))</f>
        <v/>
      </c>
      <c r="GA21" s="44" t="str">
        <f>IF(AND(FS21="*",OR(FS22="*",FT22="*",FU22="*")),1,IF(AND(FT21="*",OR(FS22="*",FT22="*",FU22="*")),1,IF(AND(FU21="*",OR(FS22="*",FT22="*",FU22="*")),1,"")))</f>
        <v/>
      </c>
      <c r="GB21" s="44" t="str">
        <f>IF(AND(FR21="*",FR22="*"),1,"")</f>
        <v/>
      </c>
      <c r="GD21" s="44"/>
      <c r="GE21" s="44"/>
      <c r="GF21" s="44"/>
      <c r="GG21" s="44"/>
      <c r="GH21" s="44"/>
      <c r="GI21" s="44"/>
      <c r="GJ21" s="44" t="str">
        <f>IF(AND(GD21="*",OR(GE22="*",GF22="*",GG22="*")), 1,"")</f>
        <v/>
      </c>
      <c r="GK21" s="44" t="str">
        <f>IF(AND(GD21="*",GH22="*"),1,"")</f>
        <v/>
      </c>
      <c r="GL21" s="44" t="str">
        <f>IF(AND(GH22="*", OR(GE21="*", GF21="*",GG21="*")),1,"")</f>
        <v/>
      </c>
      <c r="GM21" s="44" t="str">
        <f>IF(AND(GD22="*",OR(GE21="*",GF21="*",GG21="*",GH21="*")),1,IF(AND(GH21="*",OR(GD22="*",GE22="*",GF22="*",GG22="*")),1,""))</f>
        <v/>
      </c>
      <c r="GN21" s="44" t="str">
        <f>IF(AND(GE21="*",OR(GE22="*",GF22="*",GG22="*")),1,IF(AND(GF21="*",OR(GE22="*",GF22="*",GG22="*")),1,IF(AND(GG21="*",OR(GE22="*",GF22="*",GG22="*")),1,"")))</f>
        <v/>
      </c>
      <c r="GO21" s="44" t="str">
        <f>IF(AND(GD21="*",GD22="*"),1,"")</f>
        <v/>
      </c>
      <c r="GQ21" s="44"/>
      <c r="GR21" s="44"/>
      <c r="GS21" s="44"/>
      <c r="GT21" s="44"/>
      <c r="GU21" s="44"/>
      <c r="GV21" s="44" t="str">
        <f>IF(AND(GQ21="*",OR(GR22="*",GS22="*",GT22="*")), 1,"")</f>
        <v/>
      </c>
      <c r="GW21" s="44" t="str">
        <f>IF(AND(GQ21="*",GU22="*"),1,"")</f>
        <v/>
      </c>
      <c r="GX21" s="44" t="str">
        <f>IF(AND(GU22="*", OR(GR21="*", GS21="*",GT21="*")),1,"")</f>
        <v/>
      </c>
      <c r="GY21" s="44" t="str">
        <f>IF(AND(GQ22="*",OR(GR21="*",GS21="*",GT21="*",GU21="*")),1,IF(AND(GU21="*",OR(GQ22="*",GR22="*",GS22="*",GT22="*")),1,""))</f>
        <v/>
      </c>
      <c r="GZ21" s="44" t="str">
        <f>IF(AND(GR21="*",OR(GR22="*",GS22="*",GT22="*")),1,IF(AND(GS21="*",OR(GR22="*",GS22="*",GT22="*")),1,IF(AND(GT21="*",OR(GR22="*",GS22="*",GT22="*")),1,"")))</f>
        <v/>
      </c>
      <c r="HA21" s="44" t="str">
        <f>IF(AND(GQ21="*",GQ22="*"),1,"")</f>
        <v/>
      </c>
      <c r="HC21" s="44"/>
      <c r="HD21" s="44"/>
      <c r="HE21" s="44"/>
      <c r="HF21" s="44"/>
      <c r="HG21" s="44"/>
      <c r="HH21" s="44" t="str">
        <f>IF(AND(HC21="*",OR(HD22="*",HE22="*",HF22="*")), 1,"")</f>
        <v/>
      </c>
      <c r="HI21" s="44" t="str">
        <f>IF(AND(HC21="*",HG22="*"),1,"")</f>
        <v/>
      </c>
      <c r="HJ21" s="44" t="str">
        <f>IF(AND(HG22="*", OR(HD21="*", HE21="*",HF21="*")),1,"")</f>
        <v/>
      </c>
      <c r="HK21" s="44" t="str">
        <f>IF(AND(HC22="*",OR(HD21="*",HE21="*",HF21="*",HG21="*")),1,IF(AND(HG21="*",OR(HC22="*",HD22="*",HE22="*",HF22="*")),1,""))</f>
        <v/>
      </c>
      <c r="HL21" s="44" t="str">
        <f>IF(AND(HD21="*",OR(HD22="*",HE22="*",HF22="*")),1,IF(AND(HE21="*",OR(HD22="*",HE22="*",HF22="*")),1,IF(AND(HF21="*",OR(HD22="*",HE22="*",HF22="*")),1,"")))</f>
        <v/>
      </c>
      <c r="HM21" s="44" t="str">
        <f>IF(AND(HC21="*",HC22="*"),1,"")</f>
        <v/>
      </c>
      <c r="HO21" s="44"/>
      <c r="HP21" s="44"/>
      <c r="HQ21" s="44"/>
      <c r="HR21" s="44"/>
      <c r="HS21" s="44"/>
      <c r="HT21" s="44" t="str">
        <f>IF(AND(HO21="*",OR(HP22="*",HQ22="*",HR22="*")), 1,"")</f>
        <v/>
      </c>
      <c r="HU21" s="44" t="str">
        <f>IF(AND(HO21="*",HS22="*"),1,"")</f>
        <v/>
      </c>
      <c r="HV21" s="44" t="str">
        <f>IF(AND(HS22="*", OR(HP21="*", HQ21="*",HR21="*")),1,"")</f>
        <v/>
      </c>
      <c r="HW21" s="44" t="str">
        <f>IF(AND(HO22="*",OR(HP21="*",HQ21="*",HR21="*",HS21="*")),1,IF(AND(HS21="*",OR(HO22="*",HP22="*",HQ22="*",HR22="*")),1,""))</f>
        <v/>
      </c>
      <c r="HX21" s="44" t="str">
        <f>IF(AND(HP21="*",OR(HP22="*",HQ22="*",HR22="*")),1,IF(AND(HQ21="*",OR(HP22="*",HQ22="*",HR22="*")),1,IF(AND(HR21="*",OR(HP22="*",HQ22="*",HR22="*")),1,"")))</f>
        <v/>
      </c>
      <c r="HY21" s="44" t="str">
        <f>IF(AND(HO21="*",HO22="*"),1,"")</f>
        <v/>
      </c>
      <c r="IA21" s="44"/>
      <c r="IB21" s="44"/>
      <c r="IC21" s="44"/>
      <c r="ID21" s="44"/>
      <c r="IE21" s="44"/>
      <c r="IF21" s="44" t="str">
        <f>IF(AND(IA21="*",OR(IB22="*",IC22="*",ID22="*")), 1,"")</f>
        <v/>
      </c>
      <c r="IG21" s="44" t="str">
        <f>IF(AND(IA21="*",IE22="*"),1,"")</f>
        <v/>
      </c>
      <c r="IH21" s="44" t="str">
        <f>IF(AND(IE22="*", OR(IB21="*", IC21="*",ID21="*")),1,"")</f>
        <v/>
      </c>
      <c r="II21" s="44" t="str">
        <f>IF(AND(IA22="*",OR(IB21="*",IC21="*",ID21="*",IE21="*")),1,IF(AND(IE21="*",OR(IA22="*",IB22="*",IC22="*",ID22="*")),1,""))</f>
        <v/>
      </c>
      <c r="IJ21" s="44" t="str">
        <f>IF(AND(IB21="*",OR(IB22="*",IC22="*",ID22="*")),1,IF(AND(IC21="*",OR(IB22="*",IC22="*",ID22="*")),1,IF(AND(ID21="*",OR(IB22="*",IC22="*",ID22="*")),1,"")))</f>
        <v/>
      </c>
      <c r="IK21" s="44" t="str">
        <f>IF(AND(IA21="*",IA22="*"),1,"")</f>
        <v/>
      </c>
      <c r="IL21" s="44">
        <f>COUNT(J21,V21,AH21,AT21,BF21,BS21,CE21,CQ21,DC21,DO21,EA21,EM21,EY21,FK21,FW21,GJ21,GV21,HH21,HT21,IF21)</f>
        <v>0</v>
      </c>
      <c r="IM21" s="44">
        <f t="shared" ref="IM21:IQ21" si="9">COUNT(K21,W21,AI21,AU21,BG21,BT21,CF21,CR21,DD21,DP21,EB21,EN21,EZ21,FL21,FX21,GK21,GW21,HI21,HU21,IG21)</f>
        <v>0</v>
      </c>
      <c r="IN21" s="44">
        <f t="shared" si="9"/>
        <v>0</v>
      </c>
      <c r="IO21" s="44">
        <f t="shared" si="9"/>
        <v>0</v>
      </c>
      <c r="IP21" s="44">
        <f t="shared" si="9"/>
        <v>0</v>
      </c>
      <c r="IQ21" s="44">
        <f t="shared" si="9"/>
        <v>0</v>
      </c>
    </row>
    <row r="22" spans="2:251" ht="15" customHeight="1" x14ac:dyDescent="0.4">
      <c r="B22" s="273"/>
      <c r="C22" s="275"/>
      <c r="D22" s="42" t="s">
        <v>62</v>
      </c>
      <c r="E22" s="44"/>
      <c r="F22" s="44"/>
      <c r="G22" s="44"/>
      <c r="H22" s="44"/>
      <c r="I22" s="44"/>
      <c r="J22" s="43"/>
      <c r="K22" s="43"/>
      <c r="L22" s="43"/>
      <c r="M22" s="43"/>
      <c r="N22" s="43"/>
      <c r="O22" s="43"/>
      <c r="Q22" s="44"/>
      <c r="R22" s="44"/>
      <c r="S22" s="44"/>
      <c r="T22" s="44"/>
      <c r="U22" s="44"/>
      <c r="V22" s="43"/>
      <c r="W22" s="43"/>
      <c r="X22" s="43"/>
      <c r="Y22" s="43"/>
      <c r="Z22" s="43"/>
      <c r="AA22" s="43"/>
      <c r="AC22" s="44"/>
      <c r="AD22" s="44"/>
      <c r="AE22" s="44"/>
      <c r="AF22" s="44"/>
      <c r="AG22" s="44"/>
      <c r="AH22" s="43"/>
      <c r="AI22" s="43"/>
      <c r="AJ22" s="43"/>
      <c r="AK22" s="43"/>
      <c r="AL22" s="43"/>
      <c r="AM22" s="43"/>
      <c r="AO22" s="44"/>
      <c r="AP22" s="44"/>
      <c r="AQ22" s="44"/>
      <c r="AR22" s="44"/>
      <c r="AS22" s="44"/>
      <c r="AT22" s="43"/>
      <c r="AU22" s="43"/>
      <c r="AV22" s="43"/>
      <c r="AW22" s="43"/>
      <c r="AX22" s="43"/>
      <c r="AY22" s="43"/>
      <c r="BA22" s="44"/>
      <c r="BB22" s="44"/>
      <c r="BC22" s="44"/>
      <c r="BD22" s="44"/>
      <c r="BE22" s="44"/>
      <c r="BF22" s="43"/>
      <c r="BG22" s="43"/>
      <c r="BH22" s="43"/>
      <c r="BI22" s="43"/>
      <c r="BJ22" s="43"/>
      <c r="BK22" s="43"/>
      <c r="BM22" s="44"/>
      <c r="BN22" s="44"/>
      <c r="BO22" s="44"/>
      <c r="BP22" s="44"/>
      <c r="BQ22" s="44"/>
      <c r="BR22" s="44"/>
      <c r="BS22" s="43"/>
      <c r="BT22" s="43"/>
      <c r="BU22" s="43"/>
      <c r="BV22" s="43"/>
      <c r="BW22" s="43"/>
      <c r="BX22" s="43"/>
      <c r="BZ22" s="44"/>
      <c r="CA22" s="44"/>
      <c r="CB22" s="44"/>
      <c r="CC22" s="44"/>
      <c r="CD22" s="44"/>
      <c r="CE22" s="43"/>
      <c r="CF22" s="43"/>
      <c r="CG22" s="43"/>
      <c r="CH22" s="43"/>
      <c r="CI22" s="43"/>
      <c r="CJ22" s="43"/>
      <c r="CL22" s="44"/>
      <c r="CM22" s="44"/>
      <c r="CN22" s="44"/>
      <c r="CO22" s="44"/>
      <c r="CP22" s="44"/>
      <c r="CQ22" s="43"/>
      <c r="CR22" s="43"/>
      <c r="CS22" s="43"/>
      <c r="CT22" s="43"/>
      <c r="CU22" s="43"/>
      <c r="CV22" s="43"/>
      <c r="CX22" s="44"/>
      <c r="CY22" s="44"/>
      <c r="CZ22" s="44"/>
      <c r="DA22" s="44"/>
      <c r="DB22" s="44"/>
      <c r="DC22" s="43"/>
      <c r="DD22" s="43"/>
      <c r="DE22" s="43"/>
      <c r="DF22" s="43"/>
      <c r="DG22" s="43"/>
      <c r="DH22" s="43"/>
      <c r="DJ22" s="44"/>
      <c r="DK22" s="44"/>
      <c r="DL22" s="44"/>
      <c r="DM22" s="44"/>
      <c r="DN22" s="44"/>
      <c r="DO22" s="43"/>
      <c r="DP22" s="43"/>
      <c r="DQ22" s="43"/>
      <c r="DR22" s="43"/>
      <c r="DS22" s="43"/>
      <c r="DT22" s="43"/>
      <c r="DV22" s="44"/>
      <c r="DW22" s="44"/>
      <c r="DX22" s="44"/>
      <c r="DY22" s="44"/>
      <c r="DZ22" s="44"/>
      <c r="EA22" s="43"/>
      <c r="EB22" s="43"/>
      <c r="EC22" s="43"/>
      <c r="ED22" s="43"/>
      <c r="EE22" s="43"/>
      <c r="EF22" s="43"/>
      <c r="EH22" s="44"/>
      <c r="EI22" s="44"/>
      <c r="EJ22" s="44"/>
      <c r="EK22" s="44"/>
      <c r="EL22" s="44"/>
      <c r="EM22" s="43"/>
      <c r="EN22" s="43"/>
      <c r="EO22" s="43"/>
      <c r="EP22" s="43"/>
      <c r="EQ22" s="43"/>
      <c r="ER22" s="43"/>
      <c r="ET22" s="44"/>
      <c r="EU22" s="44"/>
      <c r="EV22" s="44"/>
      <c r="EW22" s="44"/>
      <c r="EX22" s="44"/>
      <c r="EY22" s="43"/>
      <c r="EZ22" s="43"/>
      <c r="FA22" s="43"/>
      <c r="FB22" s="43"/>
      <c r="FC22" s="43"/>
      <c r="FD22" s="43"/>
      <c r="FF22" s="44"/>
      <c r="FG22" s="44"/>
      <c r="FH22" s="44"/>
      <c r="FI22" s="44"/>
      <c r="FJ22" s="44"/>
      <c r="FK22" s="43"/>
      <c r="FL22" s="43"/>
      <c r="FM22" s="43"/>
      <c r="FN22" s="43"/>
      <c r="FO22" s="43"/>
      <c r="FP22" s="43"/>
      <c r="FR22" s="44"/>
      <c r="FS22" s="44"/>
      <c r="FT22" s="44"/>
      <c r="FU22" s="44"/>
      <c r="FV22" s="44"/>
      <c r="FW22" s="43"/>
      <c r="FX22" s="43"/>
      <c r="FY22" s="43"/>
      <c r="FZ22" s="43"/>
      <c r="GA22" s="43"/>
      <c r="GB22" s="43"/>
      <c r="GD22" s="44"/>
      <c r="GE22" s="44"/>
      <c r="GF22" s="44"/>
      <c r="GG22" s="44"/>
      <c r="GH22" s="44"/>
      <c r="GI22" s="44"/>
      <c r="GJ22" s="43"/>
      <c r="GK22" s="43"/>
      <c r="GL22" s="43"/>
      <c r="GM22" s="43"/>
      <c r="GN22" s="43"/>
      <c r="GO22" s="43"/>
      <c r="GQ22" s="44"/>
      <c r="GR22" s="44"/>
      <c r="GS22" s="44"/>
      <c r="GT22" s="44"/>
      <c r="GU22" s="44"/>
      <c r="GV22" s="43"/>
      <c r="GW22" s="43"/>
      <c r="GX22" s="43"/>
      <c r="GY22" s="43"/>
      <c r="GZ22" s="43"/>
      <c r="HA22" s="43"/>
      <c r="HC22" s="44"/>
      <c r="HD22" s="44"/>
      <c r="HE22" s="44"/>
      <c r="HF22" s="44"/>
      <c r="HG22" s="44"/>
      <c r="HH22" s="43"/>
      <c r="HI22" s="43"/>
      <c r="HJ22" s="43"/>
      <c r="HK22" s="43"/>
      <c r="HL22" s="43"/>
      <c r="HM22" s="43"/>
      <c r="HO22" s="44"/>
      <c r="HP22" s="44"/>
      <c r="HQ22" s="44"/>
      <c r="HR22" s="44"/>
      <c r="HS22" s="44"/>
      <c r="HT22" s="43"/>
      <c r="HU22" s="43"/>
      <c r="HV22" s="43"/>
      <c r="HW22" s="43"/>
      <c r="HX22" s="43"/>
      <c r="HY22" s="43"/>
      <c r="IA22" s="44"/>
      <c r="IB22" s="44"/>
      <c r="IC22" s="44"/>
      <c r="ID22" s="44"/>
      <c r="IE22" s="44"/>
      <c r="IF22" s="43"/>
      <c r="IG22" s="43"/>
      <c r="IH22" s="43"/>
      <c r="II22" s="43"/>
      <c r="IJ22" s="43"/>
      <c r="IK22" s="43"/>
    </row>
    <row r="23" spans="2:251" ht="15" customHeight="1" x14ac:dyDescent="0.4">
      <c r="B23" s="276">
        <v>11</v>
      </c>
      <c r="C23" s="278">
        <f>고객요구사항도출표!C15</f>
        <v>0</v>
      </c>
      <c r="D23" s="40" t="s">
        <v>51</v>
      </c>
      <c r="E23" s="41"/>
      <c r="F23" s="41"/>
      <c r="G23" s="41"/>
      <c r="H23" s="41"/>
      <c r="I23" s="41"/>
      <c r="J23" s="41" t="str">
        <f>IF(AND(E23="*",OR(F24="*",G24="*",H24="*")), 1,"")</f>
        <v/>
      </c>
      <c r="K23" s="41" t="str">
        <f>IF(AND(E23="*",I24="*"),1,"")</f>
        <v/>
      </c>
      <c r="L23" s="41" t="str">
        <f>IF(AND(I24="*", OR(F23="*", G23="*",H23="*")),1,"")</f>
        <v/>
      </c>
      <c r="M23" s="41" t="str">
        <f>IF(AND(E24="*",OR(F23="*",G23="*",H23="*",I23="*")),1,IF(AND(I23="*",OR(E24="*",F24="*",G24="*",H24="*")),1,""))</f>
        <v/>
      </c>
      <c r="N23" s="41" t="str">
        <f>IF(AND(F23="*",OR(F24="*",G24="*",H24="*")),1,IF(AND(G23="*",OR(F24="*",G24="*",H24="*")),1,IF(AND(H23="*",OR(F24="*",G24="*",H24="*")),1,"")))</f>
        <v/>
      </c>
      <c r="O23" s="41" t="str">
        <f>IF(AND(E23="*",E24="*"),1,"")</f>
        <v/>
      </c>
      <c r="Q23" s="41"/>
      <c r="R23" s="41"/>
      <c r="S23" s="41"/>
      <c r="T23" s="41"/>
      <c r="U23" s="41"/>
      <c r="V23" s="41" t="str">
        <f>IF(AND(Q23="*",OR(R24="*",S24="*",T24="*")), 1,"")</f>
        <v/>
      </c>
      <c r="W23" s="41" t="str">
        <f>IF(AND(Q23="*",U24="*"),1,"")</f>
        <v/>
      </c>
      <c r="X23" s="41" t="str">
        <f>IF(AND(U24="*", OR(R23="*", S23="*",T23="*")),1,"")</f>
        <v/>
      </c>
      <c r="Y23" s="41" t="str">
        <f>IF(AND(Q24="*",OR(R23="*",S23="*",T23="*",U23="*")),1,IF(AND(U23="*",OR(Q24="*",R24="*",S24="*",T24="*")),1,""))</f>
        <v/>
      </c>
      <c r="Z23" s="41" t="str">
        <f>IF(AND(R23="*",OR(R24="*",S24="*",T24="*")),1,IF(AND(S23="*",OR(R24="*",S24="*",T24="*")),1,IF(AND(T23="*",OR(R24="*",S24="*",T24="*")),1,"")))</f>
        <v/>
      </c>
      <c r="AA23" s="41" t="str">
        <f>IF(AND(Q23="*",Q24="*"),1,"")</f>
        <v/>
      </c>
      <c r="AC23" s="41"/>
      <c r="AD23" s="41"/>
      <c r="AE23" s="41"/>
      <c r="AF23" s="41"/>
      <c r="AG23" s="41"/>
      <c r="AH23" s="41" t="str">
        <f>IF(AND(AC23="*",OR(AD24="*",AE24="*",AF24="*")), 1,"")</f>
        <v/>
      </c>
      <c r="AI23" s="41" t="str">
        <f>IF(AND(AC23="*",AG24="*"),1,"")</f>
        <v/>
      </c>
      <c r="AJ23" s="41" t="str">
        <f>IF(AND(AG24="*", OR(AD23="*", AE23="*",AF23="*")),1,"")</f>
        <v/>
      </c>
      <c r="AK23" s="41" t="str">
        <f>IF(AND(AC24="*",OR(AD23="*",AE23="*",AF23="*",AG23="*")),1,IF(AND(AG23="*",OR(AC24="*",AD24="*",AE24="*",AF24="*")),1,""))</f>
        <v/>
      </c>
      <c r="AL23" s="41" t="str">
        <f>IF(AND(AD23="*",OR(AD24="*",AE24="*",AF24="*")),1,IF(AND(AE23="*",OR(AD24="*",AE24="*",AF24="*")),1,IF(AND(AF23="*",OR(AD24="*",AE24="*",AF24="*")),1,"")))</f>
        <v/>
      </c>
      <c r="AM23" s="41" t="str">
        <f>IF(AND(AC23="*",AC24="*"),1,"")</f>
        <v/>
      </c>
      <c r="AO23" s="41"/>
      <c r="AP23" s="41"/>
      <c r="AQ23" s="41"/>
      <c r="AR23" s="41"/>
      <c r="AS23" s="41"/>
      <c r="AT23" s="41" t="str">
        <f>IF(AND(AO23="*",OR(AP24="*",AQ24="*",AR24="*")), 1,"")</f>
        <v/>
      </c>
      <c r="AU23" s="41" t="str">
        <f>IF(AND(AO23="*",AS24="*"),1,"")</f>
        <v/>
      </c>
      <c r="AV23" s="41" t="str">
        <f>IF(AND(AS24="*", OR(AP23="*", AQ23="*",AR23="*")),1,"")</f>
        <v/>
      </c>
      <c r="AW23" s="41" t="str">
        <f>IF(AND(AO24="*",OR(AP23="*",AQ23="*",AR23="*",AS23="*")),1,IF(AND(AS23="*",OR(AO24="*",AP24="*",AQ24="*",AR24="*")),1,""))</f>
        <v/>
      </c>
      <c r="AX23" s="41" t="str">
        <f>IF(AND(AP23="*",OR(AP24="*",AQ24="*",AR24="*")),1,IF(AND(AQ23="*",OR(AP24="*",AQ24="*",AR24="*")),1,IF(AND(AR23="*",OR(AP24="*",AQ24="*",AR24="*")),1,"")))</f>
        <v/>
      </c>
      <c r="AY23" s="41" t="str">
        <f>IF(AND(AO23="*",AO24="*"),1,"")</f>
        <v/>
      </c>
      <c r="BA23" s="41"/>
      <c r="BB23" s="41"/>
      <c r="BC23" s="41"/>
      <c r="BD23" s="41"/>
      <c r="BE23" s="41"/>
      <c r="BF23" s="41" t="str">
        <f>IF(AND(BA23="*",OR(BB24="*",BC24="*",BD24="*")), 1,"")</f>
        <v/>
      </c>
      <c r="BG23" s="41" t="str">
        <f>IF(AND(BA23="*",BE24="*"),1,"")</f>
        <v/>
      </c>
      <c r="BH23" s="41" t="str">
        <f>IF(AND(BE24="*", OR(BB23="*", BC23="*",BD23="*")),1,"")</f>
        <v/>
      </c>
      <c r="BI23" s="41" t="str">
        <f>IF(AND(BA24="*",OR(BB23="*",BC23="*",BD23="*",BE23="*")),1,IF(AND(BE23="*",OR(BA24="*",BB24="*",BC24="*",BD24="*")),1,""))</f>
        <v/>
      </c>
      <c r="BJ23" s="41" t="str">
        <f>IF(AND(BB23="*",OR(BB24="*",BC24="*",BD24="*")),1,IF(AND(BC23="*",OR(BB24="*",BC24="*",BD24="*")),1,IF(AND(BD23="*",OR(BB24="*",BC24="*",BD24="*")),1,"")))</f>
        <v/>
      </c>
      <c r="BK23" s="41" t="str">
        <f>IF(AND(BA23="*",BA24="*"),1,"")</f>
        <v/>
      </c>
      <c r="BM23" s="41"/>
      <c r="BN23" s="41"/>
      <c r="BO23" s="41"/>
      <c r="BP23" s="41"/>
      <c r="BQ23" s="41"/>
      <c r="BR23" s="41"/>
      <c r="BS23" s="41" t="str">
        <f>IF(AND(BM23="*",OR(BN24="*",BO24="*",BP24="*")), 1,"")</f>
        <v/>
      </c>
      <c r="BT23" s="41" t="str">
        <f>IF(AND(BM23="*",BQ24="*"),1,"")</f>
        <v/>
      </c>
      <c r="BU23" s="41" t="str">
        <f>IF(AND(BQ24="*", OR(BN23="*", BO23="*",BP23="*")),1,"")</f>
        <v/>
      </c>
      <c r="BV23" s="41" t="str">
        <f>IF(AND(BM24="*",OR(BN23="*",BO23="*",BP23="*",BQ23="*")),1,IF(AND(BQ23="*",OR(BM24="*",BN24="*",BO24="*",BP24="*")),1,""))</f>
        <v/>
      </c>
      <c r="BW23" s="41" t="str">
        <f>IF(AND(BN23="*",OR(BN24="*",BO24="*",BP24="*")),1,IF(AND(BO23="*",OR(BN24="*",BO24="*",BP24="*")),1,IF(AND(BP23="*",OR(BN24="*",BO24="*",BP24="*")),1,"")))</f>
        <v/>
      </c>
      <c r="BX23" s="41" t="str">
        <f>IF(AND(BM23="*",BM24="*"),1,"")</f>
        <v/>
      </c>
      <c r="BZ23" s="41"/>
      <c r="CA23" s="41"/>
      <c r="CB23" s="41"/>
      <c r="CC23" s="41"/>
      <c r="CD23" s="41"/>
      <c r="CE23" s="41" t="str">
        <f>IF(AND(BZ23="*",OR(CA24="*",CB24="*",CC24="*")), 1,"")</f>
        <v/>
      </c>
      <c r="CF23" s="41" t="str">
        <f>IF(AND(BZ23="*",CD24="*"),1,"")</f>
        <v/>
      </c>
      <c r="CG23" s="41" t="str">
        <f>IF(AND(CD24="*", OR(CA23="*", CB23="*",CC23="*")),1,"")</f>
        <v/>
      </c>
      <c r="CH23" s="41" t="str">
        <f>IF(AND(BZ24="*",OR(CA23="*",CB23="*",CC23="*",CD23="*")),1,IF(AND(CD23="*",OR(BZ24="*",CA24="*",CB24="*",CC24="*")),1,""))</f>
        <v/>
      </c>
      <c r="CI23" s="41" t="str">
        <f>IF(AND(CA23="*",OR(CA24="*",CB24="*",CC24="*")),1,IF(AND(CB23="*",OR(CA24="*",CB24="*",CC24="*")),1,IF(AND(CC23="*",OR(CA24="*",CB24="*",CC24="*")),1,"")))</f>
        <v/>
      </c>
      <c r="CJ23" s="41" t="str">
        <f>IF(AND(BZ23="*",BZ24="*"),1,"")</f>
        <v/>
      </c>
      <c r="CL23" s="41"/>
      <c r="CM23" s="41"/>
      <c r="CN23" s="41"/>
      <c r="CO23" s="41"/>
      <c r="CP23" s="41"/>
      <c r="CQ23" s="41" t="str">
        <f>IF(AND(CL23="*",OR(CM24="*",CN24="*",CO24="*")), 1,"")</f>
        <v/>
      </c>
      <c r="CR23" s="41" t="str">
        <f>IF(AND(CL23="*",CP24="*"),1,"")</f>
        <v/>
      </c>
      <c r="CS23" s="41" t="str">
        <f>IF(AND(CP24="*", OR(CM23="*", CN23="*",CO23="*")),1,"")</f>
        <v/>
      </c>
      <c r="CT23" s="41" t="str">
        <f>IF(AND(CL24="*",OR(CM23="*",CN23="*",CO23="*",CP23="*")),1,IF(AND(CP23="*",OR(CL24="*",CM24="*",CN24="*",CO24="*")),1,""))</f>
        <v/>
      </c>
      <c r="CU23" s="41" t="str">
        <f>IF(AND(CM23="*",OR(CM24="*",CN24="*",CO24="*")),1,IF(AND(CN23="*",OR(CM24="*",CN24="*",CO24="*")),1,IF(AND(CO23="*",OR(CM24="*",CN24="*",CO24="*")),1,"")))</f>
        <v/>
      </c>
      <c r="CV23" s="41" t="str">
        <f>IF(AND(CL23="*",CL24="*"),1,"")</f>
        <v/>
      </c>
      <c r="CX23" s="41"/>
      <c r="CY23" s="41"/>
      <c r="CZ23" s="41"/>
      <c r="DA23" s="41"/>
      <c r="DB23" s="41"/>
      <c r="DC23" s="41" t="str">
        <f>IF(AND(CX23="*",OR(CY24="*",CZ24="*",DA24="*")), 1,"")</f>
        <v/>
      </c>
      <c r="DD23" s="41" t="str">
        <f>IF(AND(CX23="*",DB24="*"),1,"")</f>
        <v/>
      </c>
      <c r="DE23" s="41" t="str">
        <f>IF(AND(DB24="*", OR(CY23="*", CZ23="*",DA23="*")),1,"")</f>
        <v/>
      </c>
      <c r="DF23" s="41" t="str">
        <f>IF(AND(CX24="*",OR(CY23="*",CZ23="*",DA23="*",DB23="*")),1,IF(AND(DB23="*",OR(CX24="*",CY24="*",CZ24="*",DA24="*")),1,""))</f>
        <v/>
      </c>
      <c r="DG23" s="41" t="str">
        <f>IF(AND(CY23="*",OR(CY24="*",CZ24="*",DA24="*")),1,IF(AND(CZ23="*",OR(CY24="*",CZ24="*",DA24="*")),1,IF(AND(DA23="*",OR(CY24="*",CZ24="*",DA24="*")),1,"")))</f>
        <v/>
      </c>
      <c r="DH23" s="41" t="str">
        <f>IF(AND(CX23="*",CX24="*"),1,"")</f>
        <v/>
      </c>
      <c r="DJ23" s="41"/>
      <c r="DK23" s="41"/>
      <c r="DL23" s="41"/>
      <c r="DM23" s="41"/>
      <c r="DN23" s="41"/>
      <c r="DO23" s="41" t="str">
        <f>IF(AND(DJ23="*",OR(DK24="*",DL24="*",DM24="*")), 1,"")</f>
        <v/>
      </c>
      <c r="DP23" s="41" t="str">
        <f>IF(AND(DJ23="*",DN24="*"),1,"")</f>
        <v/>
      </c>
      <c r="DQ23" s="41" t="str">
        <f>IF(AND(DN24="*", OR(DK23="*", DL23="*",DM23="*")),1,"")</f>
        <v/>
      </c>
      <c r="DR23" s="41" t="str">
        <f>IF(AND(DJ24="*",OR(DK23="*",DL23="*",DM23="*",DN23="*")),1,IF(AND(DN23="*",OR(DJ24="*",DK24="*",DL24="*",DM24="*")),1,""))</f>
        <v/>
      </c>
      <c r="DS23" s="41" t="str">
        <f>IF(AND(DK23="*",OR(DK24="*",DL24="*",DM24="*")),1,IF(AND(DL23="*",OR(DK24="*",DL24="*",DM24="*")),1,IF(AND(DM23="*",OR(DK24="*",DL24="*",DM24="*")),1,"")))</f>
        <v/>
      </c>
      <c r="DT23" s="41" t="str">
        <f>IF(AND(DJ23="*",DJ24="*"),1,"")</f>
        <v/>
      </c>
      <c r="DV23" s="41"/>
      <c r="DW23" s="41"/>
      <c r="DX23" s="41"/>
      <c r="DY23" s="41"/>
      <c r="DZ23" s="41"/>
      <c r="EA23" s="41" t="str">
        <f>IF(AND(DV23="*",OR(DW24="*",DX24="*",DY24="*")), 1,"")</f>
        <v/>
      </c>
      <c r="EB23" s="41" t="str">
        <f>IF(AND(DV23="*",DZ24="*"),1,"")</f>
        <v/>
      </c>
      <c r="EC23" s="41" t="str">
        <f>IF(AND(DZ24="*", OR(DW23="*", DX23="*",DY23="*")),1,"")</f>
        <v/>
      </c>
      <c r="ED23" s="41" t="str">
        <f>IF(AND(DV24="*",OR(DW23="*",DX23="*",DY23="*",DZ23="*")),1,IF(AND(DZ23="*",OR(DV24="*",DW24="*",DX24="*",DY24="*")),1,""))</f>
        <v/>
      </c>
      <c r="EE23" s="41" t="str">
        <f>IF(AND(DW23="*",OR(DW24="*",DX24="*",DY24="*")),1,IF(AND(DX23="*",OR(DW24="*",DX24="*",DY24="*")),1,IF(AND(DY23="*",OR(DW24="*",DX24="*",DY24="*")),1,"")))</f>
        <v/>
      </c>
      <c r="EF23" s="41" t="str">
        <f>IF(AND(DV23="*",DV24="*"),1,"")</f>
        <v/>
      </c>
      <c r="EH23" s="41"/>
      <c r="EI23" s="41"/>
      <c r="EJ23" s="41"/>
      <c r="EK23" s="41"/>
      <c r="EL23" s="41"/>
      <c r="EM23" s="41" t="str">
        <f>IF(AND(EH23="*",OR(EI24="*",EJ24="*",EK24="*")), 1,"")</f>
        <v/>
      </c>
      <c r="EN23" s="41" t="str">
        <f>IF(AND(EH23="*",EL24="*"),1,"")</f>
        <v/>
      </c>
      <c r="EO23" s="41" t="str">
        <f>IF(AND(EL24="*", OR(EI23="*", EJ23="*",EK23="*")),1,"")</f>
        <v/>
      </c>
      <c r="EP23" s="41" t="str">
        <f>IF(AND(EH24="*",OR(EI23="*",EJ23="*",EK23="*",EL23="*")),1,IF(AND(EL23="*",OR(EH24="*",EI24="*",EJ24="*",EK24="*")),1,""))</f>
        <v/>
      </c>
      <c r="EQ23" s="41" t="str">
        <f>IF(AND(EI23="*",OR(EI24="*",EJ24="*",EK24="*")),1,IF(AND(EJ23="*",OR(EI24="*",EJ24="*",EK24="*")),1,IF(AND(EK23="*",OR(EI24="*",EJ24="*",EK24="*")),1,"")))</f>
        <v/>
      </c>
      <c r="ER23" s="41" t="str">
        <f>IF(AND(EH23="*",EH24="*"),1,"")</f>
        <v/>
      </c>
      <c r="ET23" s="41"/>
      <c r="EU23" s="41"/>
      <c r="EV23" s="41"/>
      <c r="EW23" s="41"/>
      <c r="EX23" s="41"/>
      <c r="EY23" s="41" t="str">
        <f>IF(AND(ET23="*",OR(EU24="*",EV24="*",EW24="*")), 1,"")</f>
        <v/>
      </c>
      <c r="EZ23" s="41" t="str">
        <f>IF(AND(ET23="*",EX24="*"),1,"")</f>
        <v/>
      </c>
      <c r="FA23" s="41" t="str">
        <f>IF(AND(EX24="*", OR(EU23="*", EV23="*",EW23="*")),1,"")</f>
        <v/>
      </c>
      <c r="FB23" s="41" t="str">
        <f>IF(AND(ET24="*",OR(EU23="*",EV23="*",EW23="*",EX23="*")),1,IF(AND(EX23="*",OR(ET24="*",EU24="*",EV24="*",EW24="*")),1,""))</f>
        <v/>
      </c>
      <c r="FC23" s="41" t="str">
        <f>IF(AND(EU23="*",OR(EU24="*",EV24="*",EW24="*")),1,IF(AND(EV23="*",OR(EU24="*",EV24="*",EW24="*")),1,IF(AND(EW23="*",OR(EU24="*",EV24="*",EW24="*")),1,"")))</f>
        <v/>
      </c>
      <c r="FD23" s="41" t="str">
        <f>IF(AND(ET23="*",ET24="*"),1,"")</f>
        <v/>
      </c>
      <c r="FF23" s="41"/>
      <c r="FG23" s="41"/>
      <c r="FH23" s="41"/>
      <c r="FI23" s="41"/>
      <c r="FJ23" s="41"/>
      <c r="FK23" s="41" t="str">
        <f>IF(AND(FF23="*",OR(FG24="*",FH24="*",FI24="*")), 1,"")</f>
        <v/>
      </c>
      <c r="FL23" s="41" t="str">
        <f>IF(AND(FF23="*",FJ24="*"),1,"")</f>
        <v/>
      </c>
      <c r="FM23" s="41" t="str">
        <f>IF(AND(FJ24="*", OR(FG23="*", FH23="*",FI23="*")),1,"")</f>
        <v/>
      </c>
      <c r="FN23" s="41" t="str">
        <f>IF(AND(FF24="*",OR(FG23="*",FH23="*",FI23="*",FJ23="*")),1,IF(AND(FJ23="*",OR(FF24="*",FG24="*",FH24="*",FI24="*")),1,""))</f>
        <v/>
      </c>
      <c r="FO23" s="41" t="str">
        <f>IF(AND(FG23="*",OR(FG24="*",FH24="*",FI24="*")),1,IF(AND(FH23="*",OR(FG24="*",FH24="*",FI24="*")),1,IF(AND(FI23="*",OR(FG24="*",FH24="*",FI24="*")),1,"")))</f>
        <v/>
      </c>
      <c r="FP23" s="41" t="str">
        <f>IF(AND(FF23="*",FF24="*"),1,"")</f>
        <v/>
      </c>
      <c r="FR23" s="41"/>
      <c r="FS23" s="41"/>
      <c r="FT23" s="41"/>
      <c r="FU23" s="41"/>
      <c r="FV23" s="41"/>
      <c r="FW23" s="41" t="str">
        <f>IF(AND(FR23="*",OR(FS24="*",FT24="*",FU24="*")), 1,"")</f>
        <v/>
      </c>
      <c r="FX23" s="41" t="str">
        <f>IF(AND(FR23="*",FV24="*"),1,"")</f>
        <v/>
      </c>
      <c r="FY23" s="41" t="str">
        <f>IF(AND(FV24="*", OR(FS23="*", FT23="*",FU23="*")),1,"")</f>
        <v/>
      </c>
      <c r="FZ23" s="41" t="str">
        <f>IF(AND(FR24="*",OR(FS23="*",FT23="*",FU23="*",FV23="*")),1,IF(AND(FV23="*",OR(FR24="*",FS24="*",FT24="*",FU24="*")),1,""))</f>
        <v/>
      </c>
      <c r="GA23" s="41" t="str">
        <f>IF(AND(FS23="*",OR(FS24="*",FT24="*",FU24="*")),1,IF(AND(FT23="*",OR(FS24="*",FT24="*",FU24="*")),1,IF(AND(FU23="*",OR(FS24="*",FT24="*",FU24="*")),1,"")))</f>
        <v/>
      </c>
      <c r="GB23" s="41" t="str">
        <f>IF(AND(FR23="*",FR24="*"),1,"")</f>
        <v/>
      </c>
      <c r="GD23" s="41"/>
      <c r="GE23" s="41"/>
      <c r="GF23" s="41"/>
      <c r="GG23" s="41"/>
      <c r="GH23" s="41"/>
      <c r="GI23" s="41"/>
      <c r="GJ23" s="41" t="str">
        <f>IF(AND(GD23="*",OR(GE24="*",GF24="*",GG24="*")), 1,"")</f>
        <v/>
      </c>
      <c r="GK23" s="41" t="str">
        <f>IF(AND(GD23="*",GH24="*"),1,"")</f>
        <v/>
      </c>
      <c r="GL23" s="41" t="str">
        <f>IF(AND(GH24="*", OR(GE23="*", GF23="*",GG23="*")),1,"")</f>
        <v/>
      </c>
      <c r="GM23" s="41" t="str">
        <f>IF(AND(GD24="*",OR(GE23="*",GF23="*",GG23="*",GH23="*")),1,IF(AND(GH23="*",OR(GD24="*",GE24="*",GF24="*",GG24="*")),1,""))</f>
        <v/>
      </c>
      <c r="GN23" s="41" t="str">
        <f>IF(AND(GE23="*",OR(GE24="*",GF24="*",GG24="*")),1,IF(AND(GF23="*",OR(GE24="*",GF24="*",GG24="*")),1,IF(AND(GG23="*",OR(GE24="*",GF24="*",GG24="*")),1,"")))</f>
        <v/>
      </c>
      <c r="GO23" s="41" t="str">
        <f>IF(AND(GD23="*",GD24="*"),1,"")</f>
        <v/>
      </c>
      <c r="GQ23" s="41"/>
      <c r="GR23" s="41"/>
      <c r="GS23" s="41"/>
      <c r="GT23" s="41"/>
      <c r="GU23" s="41"/>
      <c r="GV23" s="41" t="str">
        <f>IF(AND(GQ23="*",OR(GR24="*",GS24="*",GT24="*")), 1,"")</f>
        <v/>
      </c>
      <c r="GW23" s="41" t="str">
        <f>IF(AND(GQ23="*",GU24="*"),1,"")</f>
        <v/>
      </c>
      <c r="GX23" s="41" t="str">
        <f>IF(AND(GU24="*", OR(GR23="*", GS23="*",GT23="*")),1,"")</f>
        <v/>
      </c>
      <c r="GY23" s="41" t="str">
        <f>IF(AND(GQ24="*",OR(GR23="*",GS23="*",GT23="*",GU23="*")),1,IF(AND(GU23="*",OR(GQ24="*",GR24="*",GS24="*",GT24="*")),1,""))</f>
        <v/>
      </c>
      <c r="GZ23" s="41" t="str">
        <f>IF(AND(GR23="*",OR(GR24="*",GS24="*",GT24="*")),1,IF(AND(GS23="*",OR(GR24="*",GS24="*",GT24="*")),1,IF(AND(GT23="*",OR(GR24="*",GS24="*",GT24="*")),1,"")))</f>
        <v/>
      </c>
      <c r="HA23" s="41" t="str">
        <f>IF(AND(GQ23="*",GQ24="*"),1,"")</f>
        <v/>
      </c>
      <c r="HC23" s="41"/>
      <c r="HD23" s="41"/>
      <c r="HE23" s="41"/>
      <c r="HF23" s="41"/>
      <c r="HG23" s="41"/>
      <c r="HH23" s="41" t="str">
        <f>IF(AND(HC23="*",OR(HD24="*",HE24="*",HF24="*")), 1,"")</f>
        <v/>
      </c>
      <c r="HI23" s="41" t="str">
        <f>IF(AND(HC23="*",HG24="*"),1,"")</f>
        <v/>
      </c>
      <c r="HJ23" s="41" t="str">
        <f>IF(AND(HG24="*", OR(HD23="*", HE23="*",HF23="*")),1,"")</f>
        <v/>
      </c>
      <c r="HK23" s="41" t="str">
        <f>IF(AND(HC24="*",OR(HD23="*",HE23="*",HF23="*",HG23="*")),1,IF(AND(HG23="*",OR(HC24="*",HD24="*",HE24="*",HF24="*")),1,""))</f>
        <v/>
      </c>
      <c r="HL23" s="41" t="str">
        <f>IF(AND(HD23="*",OR(HD24="*",HE24="*",HF24="*")),1,IF(AND(HE23="*",OR(HD24="*",HE24="*",HF24="*")),1,IF(AND(HF23="*",OR(HD24="*",HE24="*",HF24="*")),1,"")))</f>
        <v/>
      </c>
      <c r="HM23" s="41" t="str">
        <f>IF(AND(HC23="*",HC24="*"),1,"")</f>
        <v/>
      </c>
      <c r="HO23" s="41"/>
      <c r="HP23" s="41"/>
      <c r="HQ23" s="41"/>
      <c r="HR23" s="41"/>
      <c r="HS23" s="41"/>
      <c r="HT23" s="41" t="str">
        <f>IF(AND(HO23="*",OR(HP24="*",HQ24="*",HR24="*")), 1,"")</f>
        <v/>
      </c>
      <c r="HU23" s="41" t="str">
        <f>IF(AND(HO23="*",HS24="*"),1,"")</f>
        <v/>
      </c>
      <c r="HV23" s="41" t="str">
        <f>IF(AND(HS24="*", OR(HP23="*", HQ23="*",HR23="*")),1,"")</f>
        <v/>
      </c>
      <c r="HW23" s="41" t="str">
        <f>IF(AND(HO24="*",OR(HP23="*",HQ23="*",HR23="*",HS23="*")),1,IF(AND(HS23="*",OR(HO24="*",HP24="*",HQ24="*",HR24="*")),1,""))</f>
        <v/>
      </c>
      <c r="HX23" s="41" t="str">
        <f>IF(AND(HP23="*",OR(HP24="*",HQ24="*",HR24="*")),1,IF(AND(HQ23="*",OR(HP24="*",HQ24="*",HR24="*")),1,IF(AND(HR23="*",OR(HP24="*",HQ24="*",HR24="*")),1,"")))</f>
        <v/>
      </c>
      <c r="HY23" s="41" t="str">
        <f>IF(AND(HO23="*",HO24="*"),1,"")</f>
        <v/>
      </c>
      <c r="IA23" s="41"/>
      <c r="IB23" s="41"/>
      <c r="IC23" s="41"/>
      <c r="ID23" s="41"/>
      <c r="IE23" s="41"/>
      <c r="IF23" s="41" t="str">
        <f>IF(AND(IA23="*",OR(IB24="*",IC24="*",ID24="*")), 1,"")</f>
        <v/>
      </c>
      <c r="IG23" s="41" t="str">
        <f>IF(AND(IA23="*",IE24="*"),1,"")</f>
        <v/>
      </c>
      <c r="IH23" s="41" t="str">
        <f>IF(AND(IE24="*", OR(IB23="*", IC23="*",ID23="*")),1,"")</f>
        <v/>
      </c>
      <c r="II23" s="41" t="str">
        <f>IF(AND(IA24="*",OR(IB23="*",IC23="*",ID23="*",IE23="*")),1,IF(AND(IE23="*",OR(IA24="*",IB24="*",IC24="*",ID24="*")),1,""))</f>
        <v/>
      </c>
      <c r="IJ23" s="41" t="str">
        <f>IF(AND(IB23="*",OR(IB24="*",IC24="*",ID24="*")),1,IF(AND(IC23="*",OR(IB24="*",IC24="*",ID24="*")),1,IF(AND(ID23="*",OR(IB24="*",IC24="*",ID24="*")),1,"")))</f>
        <v/>
      </c>
      <c r="IK23" s="41" t="str">
        <f>IF(AND(IA23="*",IA24="*"),1,"")</f>
        <v/>
      </c>
      <c r="IL23" s="41">
        <f>COUNT(J23,V23,AH23,AT23,BF23,BS23,CE23,CQ23,DC23,DO23,EA23,EM23,EY23,FK23,FW23,GJ23,GV23,HH23,HT23,IF23)</f>
        <v>0</v>
      </c>
      <c r="IM23" s="41">
        <f t="shared" ref="IM23:IQ23" si="10">COUNT(K23,W23,AI23,AU23,BG23,BT23,CF23,CR23,DD23,DP23,EB23,EN23,EZ23,FL23,FX23,GK23,GW23,HI23,HU23,IG23)</f>
        <v>0</v>
      </c>
      <c r="IN23" s="41">
        <f t="shared" si="10"/>
        <v>0</v>
      </c>
      <c r="IO23" s="41">
        <f t="shared" si="10"/>
        <v>0</v>
      </c>
      <c r="IP23" s="41">
        <f t="shared" si="10"/>
        <v>0</v>
      </c>
      <c r="IQ23" s="41">
        <f t="shared" si="10"/>
        <v>0</v>
      </c>
    </row>
    <row r="24" spans="2:251" ht="15" customHeight="1" x14ac:dyDescent="0.4">
      <c r="B24" s="277"/>
      <c r="C24" s="279"/>
      <c r="D24" s="42" t="s">
        <v>63</v>
      </c>
      <c r="E24" s="41"/>
      <c r="F24" s="41"/>
      <c r="G24" s="41"/>
      <c r="H24" s="41"/>
      <c r="I24" s="41"/>
      <c r="J24" s="43"/>
      <c r="K24" s="43"/>
      <c r="L24" s="43"/>
      <c r="M24" s="43"/>
      <c r="N24" s="43"/>
      <c r="O24" s="43"/>
      <c r="Q24" s="41"/>
      <c r="R24" s="41"/>
      <c r="S24" s="41"/>
      <c r="T24" s="41"/>
      <c r="U24" s="41"/>
      <c r="V24" s="43"/>
      <c r="W24" s="43"/>
      <c r="X24" s="43"/>
      <c r="Y24" s="43"/>
      <c r="Z24" s="43"/>
      <c r="AA24" s="43"/>
      <c r="AC24" s="41"/>
      <c r="AD24" s="41"/>
      <c r="AE24" s="41"/>
      <c r="AF24" s="41"/>
      <c r="AG24" s="41"/>
      <c r="AH24" s="43"/>
      <c r="AI24" s="43"/>
      <c r="AJ24" s="43"/>
      <c r="AK24" s="43"/>
      <c r="AL24" s="43"/>
      <c r="AM24" s="43"/>
      <c r="AO24" s="41"/>
      <c r="AP24" s="41"/>
      <c r="AQ24" s="41"/>
      <c r="AR24" s="41"/>
      <c r="AS24" s="41"/>
      <c r="AT24" s="43"/>
      <c r="AU24" s="43"/>
      <c r="AV24" s="43"/>
      <c r="AW24" s="43"/>
      <c r="AX24" s="43"/>
      <c r="AY24" s="43"/>
      <c r="BA24" s="41"/>
      <c r="BB24" s="41"/>
      <c r="BC24" s="41"/>
      <c r="BD24" s="41"/>
      <c r="BE24" s="41"/>
      <c r="BF24" s="43"/>
      <c r="BG24" s="43"/>
      <c r="BH24" s="43"/>
      <c r="BI24" s="43"/>
      <c r="BJ24" s="43"/>
      <c r="BK24" s="43"/>
      <c r="BM24" s="41"/>
      <c r="BN24" s="41"/>
      <c r="BO24" s="41"/>
      <c r="BP24" s="41"/>
      <c r="BQ24" s="41"/>
      <c r="BR24" s="41"/>
      <c r="BS24" s="43"/>
      <c r="BT24" s="43"/>
      <c r="BU24" s="43"/>
      <c r="BV24" s="43"/>
      <c r="BW24" s="43"/>
      <c r="BX24" s="43"/>
      <c r="BZ24" s="41"/>
      <c r="CA24" s="41"/>
      <c r="CB24" s="41"/>
      <c r="CC24" s="41"/>
      <c r="CD24" s="41"/>
      <c r="CE24" s="43"/>
      <c r="CF24" s="43"/>
      <c r="CG24" s="43"/>
      <c r="CH24" s="43"/>
      <c r="CI24" s="43"/>
      <c r="CJ24" s="43"/>
      <c r="CL24" s="41"/>
      <c r="CM24" s="41"/>
      <c r="CN24" s="41"/>
      <c r="CO24" s="41"/>
      <c r="CP24" s="41"/>
      <c r="CQ24" s="43"/>
      <c r="CR24" s="43"/>
      <c r="CS24" s="43"/>
      <c r="CT24" s="43"/>
      <c r="CU24" s="43"/>
      <c r="CV24" s="43"/>
      <c r="CX24" s="41"/>
      <c r="CY24" s="41"/>
      <c r="CZ24" s="41"/>
      <c r="DA24" s="41"/>
      <c r="DB24" s="41"/>
      <c r="DC24" s="43"/>
      <c r="DD24" s="43"/>
      <c r="DE24" s="43"/>
      <c r="DF24" s="43"/>
      <c r="DG24" s="43"/>
      <c r="DH24" s="43"/>
      <c r="DJ24" s="41"/>
      <c r="DK24" s="41"/>
      <c r="DL24" s="41"/>
      <c r="DM24" s="41"/>
      <c r="DN24" s="41"/>
      <c r="DO24" s="43"/>
      <c r="DP24" s="43"/>
      <c r="DQ24" s="43"/>
      <c r="DR24" s="43"/>
      <c r="DS24" s="43"/>
      <c r="DT24" s="43"/>
      <c r="DV24" s="41"/>
      <c r="DW24" s="41"/>
      <c r="DX24" s="41"/>
      <c r="DY24" s="41"/>
      <c r="DZ24" s="41"/>
      <c r="EA24" s="43"/>
      <c r="EB24" s="43"/>
      <c r="EC24" s="43"/>
      <c r="ED24" s="43"/>
      <c r="EE24" s="43"/>
      <c r="EF24" s="43"/>
      <c r="EH24" s="41"/>
      <c r="EI24" s="41"/>
      <c r="EJ24" s="41"/>
      <c r="EK24" s="41"/>
      <c r="EL24" s="41"/>
      <c r="EM24" s="43"/>
      <c r="EN24" s="43"/>
      <c r="EO24" s="43"/>
      <c r="EP24" s="43"/>
      <c r="EQ24" s="43"/>
      <c r="ER24" s="43"/>
      <c r="ET24" s="41"/>
      <c r="EU24" s="41"/>
      <c r="EV24" s="41"/>
      <c r="EW24" s="41"/>
      <c r="EX24" s="41"/>
      <c r="EY24" s="43"/>
      <c r="EZ24" s="43"/>
      <c r="FA24" s="43"/>
      <c r="FB24" s="43"/>
      <c r="FC24" s="43"/>
      <c r="FD24" s="43"/>
      <c r="FF24" s="41"/>
      <c r="FG24" s="41"/>
      <c r="FH24" s="41"/>
      <c r="FI24" s="41"/>
      <c r="FJ24" s="41"/>
      <c r="FK24" s="43"/>
      <c r="FL24" s="43"/>
      <c r="FM24" s="43"/>
      <c r="FN24" s="43"/>
      <c r="FO24" s="43"/>
      <c r="FP24" s="43"/>
      <c r="FR24" s="41"/>
      <c r="FS24" s="41"/>
      <c r="FT24" s="41"/>
      <c r="FU24" s="41"/>
      <c r="FV24" s="41"/>
      <c r="FW24" s="43"/>
      <c r="FX24" s="43"/>
      <c r="FY24" s="43"/>
      <c r="FZ24" s="43"/>
      <c r="GA24" s="43"/>
      <c r="GB24" s="43"/>
      <c r="GD24" s="41"/>
      <c r="GE24" s="41"/>
      <c r="GF24" s="41"/>
      <c r="GG24" s="41"/>
      <c r="GH24" s="41"/>
      <c r="GI24" s="41"/>
      <c r="GJ24" s="43"/>
      <c r="GK24" s="43"/>
      <c r="GL24" s="43"/>
      <c r="GM24" s="43"/>
      <c r="GN24" s="43"/>
      <c r="GO24" s="43"/>
      <c r="GQ24" s="41"/>
      <c r="GR24" s="41"/>
      <c r="GS24" s="41"/>
      <c r="GT24" s="41"/>
      <c r="GU24" s="41"/>
      <c r="GV24" s="43"/>
      <c r="GW24" s="43"/>
      <c r="GX24" s="43"/>
      <c r="GY24" s="43"/>
      <c r="GZ24" s="43"/>
      <c r="HA24" s="43"/>
      <c r="HC24" s="41"/>
      <c r="HD24" s="41"/>
      <c r="HE24" s="41"/>
      <c r="HF24" s="41"/>
      <c r="HG24" s="41"/>
      <c r="HH24" s="43"/>
      <c r="HI24" s="43"/>
      <c r="HJ24" s="43"/>
      <c r="HK24" s="43"/>
      <c r="HL24" s="43"/>
      <c r="HM24" s="43"/>
      <c r="HO24" s="41"/>
      <c r="HP24" s="41"/>
      <c r="HQ24" s="41"/>
      <c r="HR24" s="41"/>
      <c r="HS24" s="41"/>
      <c r="HT24" s="43"/>
      <c r="HU24" s="43"/>
      <c r="HV24" s="43"/>
      <c r="HW24" s="43"/>
      <c r="HX24" s="43"/>
      <c r="HY24" s="43"/>
      <c r="IA24" s="41"/>
      <c r="IB24" s="41"/>
      <c r="IC24" s="41"/>
      <c r="ID24" s="41"/>
      <c r="IE24" s="41"/>
      <c r="IF24" s="43"/>
      <c r="IG24" s="43"/>
      <c r="IH24" s="43"/>
      <c r="II24" s="43"/>
      <c r="IJ24" s="43"/>
      <c r="IK24" s="43"/>
    </row>
    <row r="25" spans="2:251" ht="15" customHeight="1" x14ac:dyDescent="0.4">
      <c r="B25" s="273">
        <v>12</v>
      </c>
      <c r="C25" s="274">
        <f>고객요구사항도출표!C16</f>
        <v>0</v>
      </c>
      <c r="D25" s="40" t="s">
        <v>64</v>
      </c>
      <c r="E25" s="44"/>
      <c r="F25" s="44"/>
      <c r="G25" s="44"/>
      <c r="H25" s="44"/>
      <c r="I25" s="44"/>
      <c r="J25" s="44" t="str">
        <f>IF(AND(E25="*",OR(F26="*",G26="*",H26="*")), 1,"")</f>
        <v/>
      </c>
      <c r="K25" s="44" t="str">
        <f>IF(AND(E25="*",I26="*"),1,"")</f>
        <v/>
      </c>
      <c r="L25" s="44" t="str">
        <f>IF(AND(I26="*", OR(F25="*", G25="*",H25="*")),1,"")</f>
        <v/>
      </c>
      <c r="M25" s="44" t="str">
        <f>IF(AND(E26="*",OR(F25="*",G25="*",H25="*",I25="*")),1,IF(AND(I25="*",OR(E26="*",F26="*",G26="*",H26="*")),1,""))</f>
        <v/>
      </c>
      <c r="N25" s="44" t="str">
        <f>IF(AND(F25="*",OR(F26="*",G26="*",H26="*")),1,IF(AND(G25="*",OR(F26="*",G26="*",H26="*")),1,IF(AND(H25="*",OR(F26="*",G26="*",H26="*")),1,"")))</f>
        <v/>
      </c>
      <c r="O25" s="44" t="str">
        <f>IF(AND(E25="*",E26="*"),1,"")</f>
        <v/>
      </c>
      <c r="Q25" s="44"/>
      <c r="R25" s="44"/>
      <c r="S25" s="44"/>
      <c r="T25" s="44"/>
      <c r="U25" s="44"/>
      <c r="V25" s="44" t="str">
        <f>IF(AND(Q25="*",OR(R26="*",S26="*",T26="*")), 1,"")</f>
        <v/>
      </c>
      <c r="W25" s="44" t="str">
        <f>IF(AND(Q25="*",U26="*"),1,"")</f>
        <v/>
      </c>
      <c r="X25" s="44" t="str">
        <f>IF(AND(U26="*", OR(R25="*", S25="*",T25="*")),1,"")</f>
        <v/>
      </c>
      <c r="Y25" s="44" t="str">
        <f>IF(AND(Q26="*",OR(R25="*",S25="*",T25="*",U25="*")),1,IF(AND(U25="*",OR(Q26="*",R26="*",S26="*",T26="*")),1,""))</f>
        <v/>
      </c>
      <c r="Z25" s="44" t="str">
        <f>IF(AND(R25="*",OR(R26="*",S26="*",T26="*")),1,IF(AND(S25="*",OR(R26="*",S26="*",T26="*")),1,IF(AND(T25="*",OR(R26="*",S26="*",T26="*")),1,"")))</f>
        <v/>
      </c>
      <c r="AA25" s="44" t="str">
        <f>IF(AND(Q25="*",Q26="*"),1,"")</f>
        <v/>
      </c>
      <c r="AC25" s="44"/>
      <c r="AD25" s="44"/>
      <c r="AE25" s="44"/>
      <c r="AF25" s="44"/>
      <c r="AG25" s="44"/>
      <c r="AH25" s="44" t="str">
        <f>IF(AND(AC25="*",OR(AD26="*",AE26="*",AF26="*")), 1,"")</f>
        <v/>
      </c>
      <c r="AI25" s="44" t="str">
        <f>IF(AND(AC25="*",AG26="*"),1,"")</f>
        <v/>
      </c>
      <c r="AJ25" s="44" t="str">
        <f>IF(AND(AG26="*", OR(AD25="*", AE25="*",AF25="*")),1,"")</f>
        <v/>
      </c>
      <c r="AK25" s="44" t="str">
        <f>IF(AND(AC26="*",OR(AD25="*",AE25="*",AF25="*",AG25="*")),1,IF(AND(AG25="*",OR(AC26="*",AD26="*",AE26="*",AF26="*")),1,""))</f>
        <v/>
      </c>
      <c r="AL25" s="44" t="str">
        <f>IF(AND(AD25="*",OR(AD26="*",AE26="*",AF26="*")),1,IF(AND(AE25="*",OR(AD26="*",AE26="*",AF26="*")),1,IF(AND(AF25="*",OR(AD26="*",AE26="*",AF26="*")),1,"")))</f>
        <v/>
      </c>
      <c r="AM25" s="44" t="str">
        <f>IF(AND(AC25="*",AC26="*"),1,"")</f>
        <v/>
      </c>
      <c r="AO25" s="44"/>
      <c r="AP25" s="44"/>
      <c r="AQ25" s="44"/>
      <c r="AR25" s="44"/>
      <c r="AS25" s="44"/>
      <c r="AT25" s="44" t="str">
        <f>IF(AND(AO25="*",OR(AP26="*",AQ26="*",AR26="*")), 1,"")</f>
        <v/>
      </c>
      <c r="AU25" s="44" t="str">
        <f>IF(AND(AO25="*",AS26="*"),1,"")</f>
        <v/>
      </c>
      <c r="AV25" s="44" t="str">
        <f>IF(AND(AS26="*", OR(AP25="*", AQ25="*",AR25="*")),1,"")</f>
        <v/>
      </c>
      <c r="AW25" s="44" t="str">
        <f>IF(AND(AO26="*",OR(AP25="*",AQ25="*",AR25="*",AS25="*")),1,IF(AND(AS25="*",OR(AO26="*",AP26="*",AQ26="*",AR26="*")),1,""))</f>
        <v/>
      </c>
      <c r="AX25" s="44" t="str">
        <f>IF(AND(AP25="*",OR(AP26="*",AQ26="*",AR26="*")),1,IF(AND(AQ25="*",OR(AP26="*",AQ26="*",AR26="*")),1,IF(AND(AR25="*",OR(AP26="*",AQ26="*",AR26="*")),1,"")))</f>
        <v/>
      </c>
      <c r="AY25" s="44" t="str">
        <f>IF(AND(AO25="*",AO26="*"),1,"")</f>
        <v/>
      </c>
      <c r="BA25" s="44"/>
      <c r="BB25" s="44"/>
      <c r="BC25" s="44"/>
      <c r="BD25" s="44"/>
      <c r="BE25" s="44"/>
      <c r="BF25" s="44" t="str">
        <f>IF(AND(BA25="*",OR(BB26="*",BC26="*",BD26="*")), 1,"")</f>
        <v/>
      </c>
      <c r="BG25" s="44" t="str">
        <f>IF(AND(BA25="*",BE26="*"),1,"")</f>
        <v/>
      </c>
      <c r="BH25" s="44" t="str">
        <f>IF(AND(BE26="*", OR(BB25="*", BC25="*",BD25="*")),1,"")</f>
        <v/>
      </c>
      <c r="BI25" s="44" t="str">
        <f>IF(AND(BA26="*",OR(BB25="*",BC25="*",BD25="*",BE25="*")),1,IF(AND(BE25="*",OR(BA26="*",BB26="*",BC26="*",BD26="*")),1,""))</f>
        <v/>
      </c>
      <c r="BJ25" s="44" t="str">
        <f>IF(AND(BB25="*",OR(BB26="*",BC26="*",BD26="*")),1,IF(AND(BC25="*",OR(BB26="*",BC26="*",BD26="*")),1,IF(AND(BD25="*",OR(BB26="*",BC26="*",BD26="*")),1,"")))</f>
        <v/>
      </c>
      <c r="BK25" s="44" t="str">
        <f>IF(AND(BA25="*",BA26="*"),1,"")</f>
        <v/>
      </c>
      <c r="BM25" s="44"/>
      <c r="BN25" s="44"/>
      <c r="BO25" s="44"/>
      <c r="BP25" s="44"/>
      <c r="BQ25" s="44"/>
      <c r="BR25" s="44"/>
      <c r="BS25" s="44" t="str">
        <f>IF(AND(BM25="*",OR(BN26="*",BO26="*",BP26="*")), 1,"")</f>
        <v/>
      </c>
      <c r="BT25" s="44" t="str">
        <f>IF(AND(BM25="*",BQ26="*"),1,"")</f>
        <v/>
      </c>
      <c r="BU25" s="44" t="str">
        <f>IF(AND(BQ26="*", OR(BN25="*", BO25="*",BP25="*")),1,"")</f>
        <v/>
      </c>
      <c r="BV25" s="44" t="str">
        <f>IF(AND(BM26="*",OR(BN25="*",BO25="*",BP25="*",BQ25="*")),1,IF(AND(BQ25="*",OR(BM26="*",BN26="*",BO26="*",BP26="*")),1,""))</f>
        <v/>
      </c>
      <c r="BW25" s="44" t="str">
        <f>IF(AND(BN25="*",OR(BN26="*",BO26="*",BP26="*")),1,IF(AND(BO25="*",OR(BN26="*",BO26="*",BP26="*")),1,IF(AND(BP25="*",OR(BN26="*",BO26="*",BP26="*")),1,"")))</f>
        <v/>
      </c>
      <c r="BX25" s="44" t="str">
        <f>IF(AND(BM25="*",BM26="*"),1,"")</f>
        <v/>
      </c>
      <c r="BZ25" s="44"/>
      <c r="CA25" s="44"/>
      <c r="CB25" s="44"/>
      <c r="CC25" s="44"/>
      <c r="CD25" s="44"/>
      <c r="CE25" s="44" t="str">
        <f>IF(AND(BZ25="*",OR(CA26="*",CB26="*",CC26="*")), 1,"")</f>
        <v/>
      </c>
      <c r="CF25" s="44" t="str">
        <f>IF(AND(BZ25="*",CD26="*"),1,"")</f>
        <v/>
      </c>
      <c r="CG25" s="44" t="str">
        <f>IF(AND(CD26="*", OR(CA25="*", CB25="*",CC25="*")),1,"")</f>
        <v/>
      </c>
      <c r="CH25" s="44" t="str">
        <f>IF(AND(BZ26="*",OR(CA25="*",CB25="*",CC25="*",CD25="*")),1,IF(AND(CD25="*",OR(BZ26="*",CA26="*",CB26="*",CC26="*")),1,""))</f>
        <v/>
      </c>
      <c r="CI25" s="44" t="str">
        <f>IF(AND(CA25="*",OR(CA26="*",CB26="*",CC26="*")),1,IF(AND(CB25="*",OR(CA26="*",CB26="*",CC26="*")),1,IF(AND(CC25="*",OR(CA26="*",CB26="*",CC26="*")),1,"")))</f>
        <v/>
      </c>
      <c r="CJ25" s="44" t="str">
        <f>IF(AND(BZ25="*",BZ26="*"),1,"")</f>
        <v/>
      </c>
      <c r="CL25" s="44"/>
      <c r="CM25" s="44"/>
      <c r="CN25" s="44"/>
      <c r="CO25" s="44"/>
      <c r="CP25" s="44"/>
      <c r="CQ25" s="44" t="str">
        <f>IF(AND(CL25="*",OR(CM26="*",CN26="*",CO26="*")), 1,"")</f>
        <v/>
      </c>
      <c r="CR25" s="44" t="str">
        <f>IF(AND(CL25="*",CP26="*"),1,"")</f>
        <v/>
      </c>
      <c r="CS25" s="44" t="str">
        <f>IF(AND(CP26="*", OR(CM25="*", CN25="*",CO25="*")),1,"")</f>
        <v/>
      </c>
      <c r="CT25" s="44" t="str">
        <f>IF(AND(CL26="*",OR(CM25="*",CN25="*",CO25="*",CP25="*")),1,IF(AND(CP25="*",OR(CL26="*",CM26="*",CN26="*",CO26="*")),1,""))</f>
        <v/>
      </c>
      <c r="CU25" s="44" t="str">
        <f>IF(AND(CM25="*",OR(CM26="*",CN26="*",CO26="*")),1,IF(AND(CN25="*",OR(CM26="*",CN26="*",CO26="*")),1,IF(AND(CO25="*",OR(CM26="*",CN26="*",CO26="*")),1,"")))</f>
        <v/>
      </c>
      <c r="CV25" s="44" t="str">
        <f>IF(AND(CL25="*",CL26="*"),1,"")</f>
        <v/>
      </c>
      <c r="CX25" s="44"/>
      <c r="CY25" s="44"/>
      <c r="CZ25" s="44"/>
      <c r="DA25" s="44"/>
      <c r="DB25" s="44"/>
      <c r="DC25" s="44" t="str">
        <f>IF(AND(CX25="*",OR(CY26="*",CZ26="*",DA26="*")), 1,"")</f>
        <v/>
      </c>
      <c r="DD25" s="44" t="str">
        <f>IF(AND(CX25="*",DB26="*"),1,"")</f>
        <v/>
      </c>
      <c r="DE25" s="44" t="str">
        <f>IF(AND(DB26="*", OR(CY25="*", CZ25="*",DA25="*")),1,"")</f>
        <v/>
      </c>
      <c r="DF25" s="44" t="str">
        <f>IF(AND(CX26="*",OR(CY25="*",CZ25="*",DA25="*",DB25="*")),1,IF(AND(DB25="*",OR(CX26="*",CY26="*",CZ26="*",DA26="*")),1,""))</f>
        <v/>
      </c>
      <c r="DG25" s="44" t="str">
        <f>IF(AND(CY25="*",OR(CY26="*",CZ26="*",DA26="*")),1,IF(AND(CZ25="*",OR(CY26="*",CZ26="*",DA26="*")),1,IF(AND(DA25="*",OR(CY26="*",CZ26="*",DA26="*")),1,"")))</f>
        <v/>
      </c>
      <c r="DH25" s="44" t="str">
        <f>IF(AND(CX25="*",CX26="*"),1,"")</f>
        <v/>
      </c>
      <c r="DJ25" s="44"/>
      <c r="DK25" s="44"/>
      <c r="DL25" s="44"/>
      <c r="DM25" s="44"/>
      <c r="DN25" s="44"/>
      <c r="DO25" s="44" t="str">
        <f>IF(AND(DJ25="*",OR(DK26="*",DL26="*",DM26="*")), 1,"")</f>
        <v/>
      </c>
      <c r="DP25" s="44" t="str">
        <f>IF(AND(DJ25="*",DN26="*"),1,"")</f>
        <v/>
      </c>
      <c r="DQ25" s="44" t="str">
        <f>IF(AND(DN26="*", OR(DK25="*", DL25="*",DM25="*")),1,"")</f>
        <v/>
      </c>
      <c r="DR25" s="44" t="str">
        <f>IF(AND(DJ26="*",OR(DK25="*",DL25="*",DM25="*",DN25="*")),1,IF(AND(DN25="*",OR(DJ26="*",DK26="*",DL26="*",DM26="*")),1,""))</f>
        <v/>
      </c>
      <c r="DS25" s="44" t="str">
        <f>IF(AND(DK25="*",OR(DK26="*",DL26="*",DM26="*")),1,IF(AND(DL25="*",OR(DK26="*",DL26="*",DM26="*")),1,IF(AND(DM25="*",OR(DK26="*",DL26="*",DM26="*")),1,"")))</f>
        <v/>
      </c>
      <c r="DT25" s="44" t="str">
        <f>IF(AND(DJ25="*",DJ26="*"),1,"")</f>
        <v/>
      </c>
      <c r="DV25" s="44"/>
      <c r="DW25" s="44"/>
      <c r="DX25" s="44"/>
      <c r="DY25" s="44"/>
      <c r="DZ25" s="44"/>
      <c r="EA25" s="44" t="str">
        <f>IF(AND(DV25="*",OR(DW26="*",DX26="*",DY26="*")), 1,"")</f>
        <v/>
      </c>
      <c r="EB25" s="44" t="str">
        <f>IF(AND(DV25="*",DZ26="*"),1,"")</f>
        <v/>
      </c>
      <c r="EC25" s="44" t="str">
        <f>IF(AND(DZ26="*", OR(DW25="*", DX25="*",DY25="*")),1,"")</f>
        <v/>
      </c>
      <c r="ED25" s="44" t="str">
        <f>IF(AND(DV26="*",OR(DW25="*",DX25="*",DY25="*",DZ25="*")),1,IF(AND(DZ25="*",OR(DV26="*",DW26="*",DX26="*",DY26="*")),1,""))</f>
        <v/>
      </c>
      <c r="EE25" s="44" t="str">
        <f>IF(AND(DW25="*",OR(DW26="*",DX26="*",DY26="*")),1,IF(AND(DX25="*",OR(DW26="*",DX26="*",DY26="*")),1,IF(AND(DY25="*",OR(DW26="*",DX26="*",DY26="*")),1,"")))</f>
        <v/>
      </c>
      <c r="EF25" s="44" t="str">
        <f>IF(AND(DV25="*",DV26="*"),1,"")</f>
        <v/>
      </c>
      <c r="EH25" s="44"/>
      <c r="EI25" s="44"/>
      <c r="EJ25" s="44"/>
      <c r="EK25" s="44"/>
      <c r="EL25" s="44"/>
      <c r="EM25" s="44" t="str">
        <f>IF(AND(EH25="*",OR(EI26="*",EJ26="*",EK26="*")), 1,"")</f>
        <v/>
      </c>
      <c r="EN25" s="44" t="str">
        <f>IF(AND(EH25="*",EL26="*"),1,"")</f>
        <v/>
      </c>
      <c r="EO25" s="44" t="str">
        <f>IF(AND(EL26="*", OR(EI25="*", EJ25="*",EK25="*")),1,"")</f>
        <v/>
      </c>
      <c r="EP25" s="44" t="str">
        <f>IF(AND(EH26="*",OR(EI25="*",EJ25="*",EK25="*",EL25="*")),1,IF(AND(EL25="*",OR(EH26="*",EI26="*",EJ26="*",EK26="*")),1,""))</f>
        <v/>
      </c>
      <c r="EQ25" s="44" t="str">
        <f>IF(AND(EI25="*",OR(EI26="*",EJ26="*",EK26="*")),1,IF(AND(EJ25="*",OR(EI26="*",EJ26="*",EK26="*")),1,IF(AND(EK25="*",OR(EI26="*",EJ26="*",EK26="*")),1,"")))</f>
        <v/>
      </c>
      <c r="ER25" s="44" t="str">
        <f>IF(AND(EH25="*",EH26="*"),1,"")</f>
        <v/>
      </c>
      <c r="ET25" s="44"/>
      <c r="EU25" s="44"/>
      <c r="EV25" s="44"/>
      <c r="EW25" s="44"/>
      <c r="EX25" s="44"/>
      <c r="EY25" s="44" t="str">
        <f>IF(AND(ET25="*",OR(EU26="*",EV26="*",EW26="*")), 1,"")</f>
        <v/>
      </c>
      <c r="EZ25" s="44" t="str">
        <f>IF(AND(ET25="*",EX26="*"),1,"")</f>
        <v/>
      </c>
      <c r="FA25" s="44" t="str">
        <f>IF(AND(EX26="*", OR(EU25="*", EV25="*",EW25="*")),1,"")</f>
        <v/>
      </c>
      <c r="FB25" s="44" t="str">
        <f>IF(AND(ET26="*",OR(EU25="*",EV25="*",EW25="*",EX25="*")),1,IF(AND(EX25="*",OR(ET26="*",EU26="*",EV26="*",EW26="*")),1,""))</f>
        <v/>
      </c>
      <c r="FC25" s="44" t="str">
        <f>IF(AND(EU25="*",OR(EU26="*",EV26="*",EW26="*")),1,IF(AND(EV25="*",OR(EU26="*",EV26="*",EW26="*")),1,IF(AND(EW25="*",OR(EU26="*",EV26="*",EW26="*")),1,"")))</f>
        <v/>
      </c>
      <c r="FD25" s="44" t="str">
        <f>IF(AND(ET25="*",ET26="*"),1,"")</f>
        <v/>
      </c>
      <c r="FF25" s="44"/>
      <c r="FG25" s="44"/>
      <c r="FH25" s="44"/>
      <c r="FI25" s="44"/>
      <c r="FJ25" s="44"/>
      <c r="FK25" s="44" t="str">
        <f>IF(AND(FF25="*",OR(FG26="*",FH26="*",FI26="*")), 1,"")</f>
        <v/>
      </c>
      <c r="FL25" s="44" t="str">
        <f>IF(AND(FF25="*",FJ26="*"),1,"")</f>
        <v/>
      </c>
      <c r="FM25" s="44" t="str">
        <f>IF(AND(FJ26="*", OR(FG25="*", FH25="*",FI25="*")),1,"")</f>
        <v/>
      </c>
      <c r="FN25" s="44" t="str">
        <f>IF(AND(FF26="*",OR(FG25="*",FH25="*",FI25="*",FJ25="*")),1,IF(AND(FJ25="*",OR(FF26="*",FG26="*",FH26="*",FI26="*")),1,""))</f>
        <v/>
      </c>
      <c r="FO25" s="44" t="str">
        <f>IF(AND(FG25="*",OR(FG26="*",FH26="*",FI26="*")),1,IF(AND(FH25="*",OR(FG26="*",FH26="*",FI26="*")),1,IF(AND(FI25="*",OR(FG26="*",FH26="*",FI26="*")),1,"")))</f>
        <v/>
      </c>
      <c r="FP25" s="44" t="str">
        <f>IF(AND(FF25="*",FF26="*"),1,"")</f>
        <v/>
      </c>
      <c r="FR25" s="44"/>
      <c r="FS25" s="44"/>
      <c r="FT25" s="44"/>
      <c r="FU25" s="44"/>
      <c r="FV25" s="44"/>
      <c r="FW25" s="44" t="str">
        <f>IF(AND(FR25="*",OR(FS26="*",FT26="*",FU26="*")), 1,"")</f>
        <v/>
      </c>
      <c r="FX25" s="44" t="str">
        <f>IF(AND(FR25="*",FV26="*"),1,"")</f>
        <v/>
      </c>
      <c r="FY25" s="44" t="str">
        <f>IF(AND(FV26="*", OR(FS25="*", FT25="*",FU25="*")),1,"")</f>
        <v/>
      </c>
      <c r="FZ25" s="44" t="str">
        <f>IF(AND(FR26="*",OR(FS25="*",FT25="*",FU25="*",FV25="*")),1,IF(AND(FV25="*",OR(FR26="*",FS26="*",FT26="*",FU26="*")),1,""))</f>
        <v/>
      </c>
      <c r="GA25" s="44" t="str">
        <f>IF(AND(FS25="*",OR(FS26="*",FT26="*",FU26="*")),1,IF(AND(FT25="*",OR(FS26="*",FT26="*",FU26="*")),1,IF(AND(FU25="*",OR(FS26="*",FT26="*",FU26="*")),1,"")))</f>
        <v/>
      </c>
      <c r="GB25" s="44" t="str">
        <f>IF(AND(FR25="*",FR26="*"),1,"")</f>
        <v/>
      </c>
      <c r="GD25" s="44"/>
      <c r="GE25" s="44"/>
      <c r="GF25" s="44"/>
      <c r="GG25" s="44"/>
      <c r="GH25" s="44"/>
      <c r="GI25" s="44"/>
      <c r="GJ25" s="44" t="str">
        <f>IF(AND(GD25="*",OR(GE26="*",GF26="*",GG26="*")), 1,"")</f>
        <v/>
      </c>
      <c r="GK25" s="44" t="str">
        <f>IF(AND(GD25="*",GH26="*"),1,"")</f>
        <v/>
      </c>
      <c r="GL25" s="44" t="str">
        <f>IF(AND(GH26="*", OR(GE25="*", GF25="*",GG25="*")),1,"")</f>
        <v/>
      </c>
      <c r="GM25" s="44" t="str">
        <f>IF(AND(GD26="*",OR(GE25="*",GF25="*",GG25="*",GH25="*")),1,IF(AND(GH25="*",OR(GD26="*",GE26="*",GF26="*",GG26="*")),1,""))</f>
        <v/>
      </c>
      <c r="GN25" s="44" t="str">
        <f>IF(AND(GE25="*",OR(GE26="*",GF26="*",GG26="*")),1,IF(AND(GF25="*",OR(GE26="*",GF26="*",GG26="*")),1,IF(AND(GG25="*",OR(GE26="*",GF26="*",GG26="*")),1,"")))</f>
        <v/>
      </c>
      <c r="GO25" s="44" t="str">
        <f>IF(AND(GD25="*",GD26="*"),1,"")</f>
        <v/>
      </c>
      <c r="GQ25" s="44"/>
      <c r="GR25" s="44"/>
      <c r="GS25" s="44"/>
      <c r="GT25" s="44"/>
      <c r="GU25" s="44"/>
      <c r="GV25" s="44" t="str">
        <f>IF(AND(GQ25="*",OR(GR26="*",GS26="*",GT26="*")), 1,"")</f>
        <v/>
      </c>
      <c r="GW25" s="44" t="str">
        <f>IF(AND(GQ25="*",GU26="*"),1,"")</f>
        <v/>
      </c>
      <c r="GX25" s="44" t="str">
        <f>IF(AND(GU26="*", OR(GR25="*", GS25="*",GT25="*")),1,"")</f>
        <v/>
      </c>
      <c r="GY25" s="44" t="str">
        <f>IF(AND(GQ26="*",OR(GR25="*",GS25="*",GT25="*",GU25="*")),1,IF(AND(GU25="*",OR(GQ26="*",GR26="*",GS26="*",GT26="*")),1,""))</f>
        <v/>
      </c>
      <c r="GZ25" s="44" t="str">
        <f>IF(AND(GR25="*",OR(GR26="*",GS26="*",GT26="*")),1,IF(AND(GS25="*",OR(GR26="*",GS26="*",GT26="*")),1,IF(AND(GT25="*",OR(GR26="*",GS26="*",GT26="*")),1,"")))</f>
        <v/>
      </c>
      <c r="HA25" s="44" t="str">
        <f>IF(AND(GQ25="*",GQ26="*"),1,"")</f>
        <v/>
      </c>
      <c r="HC25" s="44"/>
      <c r="HD25" s="44"/>
      <c r="HE25" s="44"/>
      <c r="HF25" s="44"/>
      <c r="HG25" s="44"/>
      <c r="HH25" s="44" t="str">
        <f>IF(AND(HC25="*",OR(HD26="*",HE26="*",HF26="*")), 1,"")</f>
        <v/>
      </c>
      <c r="HI25" s="44" t="str">
        <f>IF(AND(HC25="*",HG26="*"),1,"")</f>
        <v/>
      </c>
      <c r="HJ25" s="44" t="str">
        <f>IF(AND(HG26="*", OR(HD25="*", HE25="*",HF25="*")),1,"")</f>
        <v/>
      </c>
      <c r="HK25" s="44" t="str">
        <f>IF(AND(HC26="*",OR(HD25="*",HE25="*",HF25="*",HG25="*")),1,IF(AND(HG25="*",OR(HC26="*",HD26="*",HE26="*",HF26="*")),1,""))</f>
        <v/>
      </c>
      <c r="HL25" s="44" t="str">
        <f>IF(AND(HD25="*",OR(HD26="*",HE26="*",HF26="*")),1,IF(AND(HE25="*",OR(HD26="*",HE26="*",HF26="*")),1,IF(AND(HF25="*",OR(HD26="*",HE26="*",HF26="*")),1,"")))</f>
        <v/>
      </c>
      <c r="HM25" s="44" t="str">
        <f>IF(AND(HC25="*",HC26="*"),1,"")</f>
        <v/>
      </c>
      <c r="HO25" s="44"/>
      <c r="HP25" s="44"/>
      <c r="HQ25" s="44"/>
      <c r="HR25" s="44"/>
      <c r="HS25" s="44"/>
      <c r="HT25" s="44" t="str">
        <f>IF(AND(HO25="*",OR(HP26="*",HQ26="*",HR26="*")), 1,"")</f>
        <v/>
      </c>
      <c r="HU25" s="44" t="str">
        <f>IF(AND(HO25="*",HS26="*"),1,"")</f>
        <v/>
      </c>
      <c r="HV25" s="44" t="str">
        <f>IF(AND(HS26="*", OR(HP25="*", HQ25="*",HR25="*")),1,"")</f>
        <v/>
      </c>
      <c r="HW25" s="44" t="str">
        <f>IF(AND(HO26="*",OR(HP25="*",HQ25="*",HR25="*",HS25="*")),1,IF(AND(HS25="*",OR(HO26="*",HP26="*",HQ26="*",HR26="*")),1,""))</f>
        <v/>
      </c>
      <c r="HX25" s="44" t="str">
        <f>IF(AND(HP25="*",OR(HP26="*",HQ26="*",HR26="*")),1,IF(AND(HQ25="*",OR(HP26="*",HQ26="*",HR26="*")),1,IF(AND(HR25="*",OR(HP26="*",HQ26="*",HR26="*")),1,"")))</f>
        <v/>
      </c>
      <c r="HY25" s="44" t="str">
        <f>IF(AND(HO25="*",HO26="*"),1,"")</f>
        <v/>
      </c>
      <c r="IA25" s="44"/>
      <c r="IB25" s="44"/>
      <c r="IC25" s="44"/>
      <c r="ID25" s="44"/>
      <c r="IE25" s="44"/>
      <c r="IF25" s="44" t="str">
        <f>IF(AND(IA25="*",OR(IB26="*",IC26="*",ID26="*")), 1,"")</f>
        <v/>
      </c>
      <c r="IG25" s="44" t="str">
        <f>IF(AND(IA25="*",IE26="*"),1,"")</f>
        <v/>
      </c>
      <c r="IH25" s="44" t="str">
        <f>IF(AND(IE26="*", OR(IB25="*", IC25="*",ID25="*")),1,"")</f>
        <v/>
      </c>
      <c r="II25" s="44" t="str">
        <f>IF(AND(IA26="*",OR(IB25="*",IC25="*",ID25="*",IE25="*")),1,IF(AND(IE25="*",OR(IA26="*",IB26="*",IC26="*",ID26="*")),1,""))</f>
        <v/>
      </c>
      <c r="IJ25" s="44" t="str">
        <f>IF(AND(IB25="*",OR(IB26="*",IC26="*",ID26="*")),1,IF(AND(IC25="*",OR(IB26="*",IC26="*",ID26="*")),1,IF(AND(ID25="*",OR(IB26="*",IC26="*",ID26="*")),1,"")))</f>
        <v/>
      </c>
      <c r="IK25" s="44" t="str">
        <f>IF(AND(IA25="*",IA26="*"),1,"")</f>
        <v/>
      </c>
      <c r="IL25" s="44">
        <f>COUNT(J25,V25,AH25,AT25,BF25,BS25,CE25,CQ25,DC25,DO25,EA25,EM25,EY25,FK25,FW25,GJ25,GV25,HH25,HT25,IF25)</f>
        <v>0</v>
      </c>
      <c r="IM25" s="44">
        <f t="shared" ref="IM25:IQ25" si="11">COUNT(K25,W25,AI25,AU25,BG25,BT25,CF25,CR25,DD25,DP25,EB25,EN25,EZ25,FL25,FX25,GK25,GW25,HI25,HU25,IG25)</f>
        <v>0</v>
      </c>
      <c r="IN25" s="44">
        <f t="shared" si="11"/>
        <v>0</v>
      </c>
      <c r="IO25" s="44">
        <f t="shared" si="11"/>
        <v>0</v>
      </c>
      <c r="IP25" s="44">
        <f t="shared" si="11"/>
        <v>0</v>
      </c>
      <c r="IQ25" s="44">
        <f t="shared" si="11"/>
        <v>0</v>
      </c>
    </row>
    <row r="26" spans="2:251" ht="15" customHeight="1" x14ac:dyDescent="0.4">
      <c r="B26" s="273"/>
      <c r="C26" s="275"/>
      <c r="D26" s="42" t="s">
        <v>65</v>
      </c>
      <c r="E26" s="44"/>
      <c r="F26" s="44"/>
      <c r="G26" s="44"/>
      <c r="H26" s="44"/>
      <c r="I26" s="44"/>
      <c r="J26" s="43"/>
      <c r="K26" s="43"/>
      <c r="L26" s="43"/>
      <c r="M26" s="43"/>
      <c r="N26" s="43"/>
      <c r="O26" s="43"/>
      <c r="Q26" s="44"/>
      <c r="R26" s="44"/>
      <c r="S26" s="44"/>
      <c r="T26" s="44"/>
      <c r="U26" s="44"/>
      <c r="V26" s="43"/>
      <c r="W26" s="43"/>
      <c r="X26" s="43"/>
      <c r="Y26" s="43"/>
      <c r="Z26" s="43"/>
      <c r="AA26" s="43"/>
      <c r="AC26" s="44"/>
      <c r="AD26" s="44"/>
      <c r="AE26" s="44"/>
      <c r="AF26" s="44"/>
      <c r="AG26" s="44"/>
      <c r="AH26" s="43"/>
      <c r="AI26" s="43"/>
      <c r="AJ26" s="43"/>
      <c r="AK26" s="43"/>
      <c r="AL26" s="43"/>
      <c r="AM26" s="43"/>
      <c r="AO26" s="44"/>
      <c r="AP26" s="44"/>
      <c r="AQ26" s="44"/>
      <c r="AR26" s="44"/>
      <c r="AS26" s="44"/>
      <c r="AT26" s="43"/>
      <c r="AU26" s="43"/>
      <c r="AV26" s="43"/>
      <c r="AW26" s="43"/>
      <c r="AX26" s="43"/>
      <c r="AY26" s="43"/>
      <c r="BA26" s="44"/>
      <c r="BB26" s="44"/>
      <c r="BC26" s="44"/>
      <c r="BD26" s="44"/>
      <c r="BE26" s="44"/>
      <c r="BF26" s="43"/>
      <c r="BG26" s="43"/>
      <c r="BH26" s="43"/>
      <c r="BI26" s="43"/>
      <c r="BJ26" s="43"/>
      <c r="BK26" s="43"/>
      <c r="BM26" s="44"/>
      <c r="BN26" s="44"/>
      <c r="BO26" s="44"/>
      <c r="BP26" s="44"/>
      <c r="BQ26" s="44"/>
      <c r="BR26" s="44"/>
      <c r="BS26" s="43"/>
      <c r="BT26" s="43"/>
      <c r="BU26" s="43"/>
      <c r="BV26" s="43"/>
      <c r="BW26" s="43"/>
      <c r="BX26" s="43"/>
      <c r="BZ26" s="44"/>
      <c r="CA26" s="44"/>
      <c r="CB26" s="44"/>
      <c r="CC26" s="44"/>
      <c r="CD26" s="44"/>
      <c r="CE26" s="43"/>
      <c r="CF26" s="43"/>
      <c r="CG26" s="43"/>
      <c r="CH26" s="43"/>
      <c r="CI26" s="43"/>
      <c r="CJ26" s="43"/>
      <c r="CL26" s="44"/>
      <c r="CM26" s="44"/>
      <c r="CN26" s="44"/>
      <c r="CO26" s="44"/>
      <c r="CP26" s="44"/>
      <c r="CQ26" s="43"/>
      <c r="CR26" s="43"/>
      <c r="CS26" s="43"/>
      <c r="CT26" s="43"/>
      <c r="CU26" s="43"/>
      <c r="CV26" s="43"/>
      <c r="CX26" s="44"/>
      <c r="CY26" s="44"/>
      <c r="CZ26" s="44"/>
      <c r="DA26" s="44"/>
      <c r="DB26" s="44"/>
      <c r="DC26" s="43"/>
      <c r="DD26" s="43"/>
      <c r="DE26" s="43"/>
      <c r="DF26" s="43"/>
      <c r="DG26" s="43"/>
      <c r="DH26" s="43"/>
      <c r="DJ26" s="44"/>
      <c r="DK26" s="44"/>
      <c r="DL26" s="44"/>
      <c r="DM26" s="44"/>
      <c r="DN26" s="44"/>
      <c r="DO26" s="43"/>
      <c r="DP26" s="43"/>
      <c r="DQ26" s="43"/>
      <c r="DR26" s="43"/>
      <c r="DS26" s="43"/>
      <c r="DT26" s="43"/>
      <c r="DV26" s="44"/>
      <c r="DW26" s="44"/>
      <c r="DX26" s="44"/>
      <c r="DY26" s="44"/>
      <c r="DZ26" s="44"/>
      <c r="EA26" s="43"/>
      <c r="EB26" s="43"/>
      <c r="EC26" s="43"/>
      <c r="ED26" s="43"/>
      <c r="EE26" s="43"/>
      <c r="EF26" s="43"/>
      <c r="EH26" s="44"/>
      <c r="EI26" s="44"/>
      <c r="EJ26" s="44"/>
      <c r="EK26" s="44"/>
      <c r="EL26" s="44"/>
      <c r="EM26" s="43"/>
      <c r="EN26" s="43"/>
      <c r="EO26" s="43"/>
      <c r="EP26" s="43"/>
      <c r="EQ26" s="43"/>
      <c r="ER26" s="43"/>
      <c r="ET26" s="44"/>
      <c r="EU26" s="44"/>
      <c r="EV26" s="44"/>
      <c r="EW26" s="44"/>
      <c r="EX26" s="44"/>
      <c r="EY26" s="43"/>
      <c r="EZ26" s="43"/>
      <c r="FA26" s="43"/>
      <c r="FB26" s="43"/>
      <c r="FC26" s="43"/>
      <c r="FD26" s="43"/>
      <c r="FF26" s="44"/>
      <c r="FG26" s="44"/>
      <c r="FH26" s="44"/>
      <c r="FI26" s="44"/>
      <c r="FJ26" s="44"/>
      <c r="FK26" s="43"/>
      <c r="FL26" s="43"/>
      <c r="FM26" s="43"/>
      <c r="FN26" s="43"/>
      <c r="FO26" s="43"/>
      <c r="FP26" s="43"/>
      <c r="FR26" s="44"/>
      <c r="FS26" s="44"/>
      <c r="FT26" s="44"/>
      <c r="FU26" s="44"/>
      <c r="FV26" s="44"/>
      <c r="FW26" s="43"/>
      <c r="FX26" s="43"/>
      <c r="FY26" s="43"/>
      <c r="FZ26" s="43"/>
      <c r="GA26" s="43"/>
      <c r="GB26" s="43"/>
      <c r="GD26" s="44"/>
      <c r="GE26" s="44"/>
      <c r="GF26" s="44"/>
      <c r="GG26" s="44"/>
      <c r="GH26" s="44"/>
      <c r="GI26" s="44"/>
      <c r="GJ26" s="43"/>
      <c r="GK26" s="43"/>
      <c r="GL26" s="43"/>
      <c r="GM26" s="43"/>
      <c r="GN26" s="43"/>
      <c r="GO26" s="43"/>
      <c r="GQ26" s="44"/>
      <c r="GR26" s="44"/>
      <c r="GS26" s="44"/>
      <c r="GT26" s="44"/>
      <c r="GU26" s="44"/>
      <c r="GV26" s="43"/>
      <c r="GW26" s="43"/>
      <c r="GX26" s="43"/>
      <c r="GY26" s="43"/>
      <c r="GZ26" s="43"/>
      <c r="HA26" s="43"/>
      <c r="HC26" s="44"/>
      <c r="HD26" s="44"/>
      <c r="HE26" s="44"/>
      <c r="HF26" s="44"/>
      <c r="HG26" s="44"/>
      <c r="HH26" s="43"/>
      <c r="HI26" s="43"/>
      <c r="HJ26" s="43"/>
      <c r="HK26" s="43"/>
      <c r="HL26" s="43"/>
      <c r="HM26" s="43"/>
      <c r="HO26" s="44"/>
      <c r="HP26" s="44"/>
      <c r="HQ26" s="44"/>
      <c r="HR26" s="44"/>
      <c r="HS26" s="44"/>
      <c r="HT26" s="43"/>
      <c r="HU26" s="43"/>
      <c r="HV26" s="43"/>
      <c r="HW26" s="43"/>
      <c r="HX26" s="43"/>
      <c r="HY26" s="43"/>
      <c r="IA26" s="44"/>
      <c r="IB26" s="44"/>
      <c r="IC26" s="44"/>
      <c r="ID26" s="44"/>
      <c r="IE26" s="44"/>
      <c r="IF26" s="43"/>
      <c r="IG26" s="43"/>
      <c r="IH26" s="43"/>
      <c r="II26" s="43"/>
      <c r="IJ26" s="43"/>
      <c r="IK26" s="43"/>
    </row>
    <row r="27" spans="2:251" ht="15" customHeight="1" x14ac:dyDescent="0.4">
      <c r="B27" s="276">
        <v>13</v>
      </c>
      <c r="C27" s="278">
        <f>고객요구사항도출표!C17</f>
        <v>0</v>
      </c>
      <c r="D27" s="40" t="s">
        <v>55</v>
      </c>
      <c r="E27" s="41"/>
      <c r="F27" s="41"/>
      <c r="G27" s="41"/>
      <c r="H27" s="41"/>
      <c r="I27" s="41"/>
      <c r="J27" s="41" t="str">
        <f>IF(AND(E27="*",OR(F28="*",G28="*",H28="*")), 1,"")</f>
        <v/>
      </c>
      <c r="K27" s="41" t="str">
        <f>IF(AND(E27="*",I28="*"),1,"")</f>
        <v/>
      </c>
      <c r="L27" s="41" t="str">
        <f>IF(AND(I28="*", OR(F27="*", G27="*",H27="*")),1,"")</f>
        <v/>
      </c>
      <c r="M27" s="41" t="str">
        <f>IF(AND(E28="*",OR(F27="*",G27="*",H27="*",I27="*")),1,IF(AND(I27="*",OR(E28="*",F28="*",G28="*",H28="*")),1,""))</f>
        <v/>
      </c>
      <c r="N27" s="41" t="str">
        <f>IF(AND(F27="*",OR(F28="*",G28="*",H28="*")),1,IF(AND(G27="*",OR(F28="*",G28="*",H28="*")),1,IF(AND(H27="*",OR(F28="*",G28="*",H28="*")),1,"")))</f>
        <v/>
      </c>
      <c r="O27" s="41" t="str">
        <f>IF(AND(E27="*",E28="*"),1,"")</f>
        <v/>
      </c>
      <c r="Q27" s="41"/>
      <c r="R27" s="41"/>
      <c r="S27" s="41"/>
      <c r="T27" s="41"/>
      <c r="U27" s="41"/>
      <c r="V27" s="41" t="str">
        <f>IF(AND(Q27="*",OR(R28="*",S28="*",T28="*")), 1,"")</f>
        <v/>
      </c>
      <c r="W27" s="41" t="str">
        <f>IF(AND(Q27="*",U28="*"),1,"")</f>
        <v/>
      </c>
      <c r="X27" s="41" t="str">
        <f>IF(AND(U28="*", OR(R27="*", S27="*",T27="*")),1,"")</f>
        <v/>
      </c>
      <c r="Y27" s="41" t="str">
        <f>IF(AND(Q28="*",OR(R27="*",S27="*",T27="*",U27="*")),1,IF(AND(U27="*",OR(Q28="*",R28="*",S28="*",T28="*")),1,""))</f>
        <v/>
      </c>
      <c r="Z27" s="41" t="str">
        <f>IF(AND(R27="*",OR(R28="*",S28="*",T28="*")),1,IF(AND(S27="*",OR(R28="*",S28="*",T28="*")),1,IF(AND(T27="*",OR(R28="*",S28="*",T28="*")),1,"")))</f>
        <v/>
      </c>
      <c r="AA27" s="41" t="str">
        <f>IF(AND(Q27="*",Q28="*"),1,"")</f>
        <v/>
      </c>
      <c r="AC27" s="41"/>
      <c r="AD27" s="41"/>
      <c r="AE27" s="41"/>
      <c r="AF27" s="41"/>
      <c r="AG27" s="41"/>
      <c r="AH27" s="41" t="str">
        <f>IF(AND(AC27="*",OR(AD28="*",AE28="*",AF28="*")), 1,"")</f>
        <v/>
      </c>
      <c r="AI27" s="41" t="str">
        <f>IF(AND(AC27="*",AG28="*"),1,"")</f>
        <v/>
      </c>
      <c r="AJ27" s="41" t="str">
        <f>IF(AND(AG28="*", OR(AD27="*", AE27="*",AF27="*")),1,"")</f>
        <v/>
      </c>
      <c r="AK27" s="41" t="str">
        <f>IF(AND(AC28="*",OR(AD27="*",AE27="*",AF27="*",AG27="*")),1,IF(AND(AG27="*",OR(AC28="*",AD28="*",AE28="*",AF28="*")),1,""))</f>
        <v/>
      </c>
      <c r="AL27" s="41" t="str">
        <f>IF(AND(AD27="*",OR(AD28="*",AE28="*",AF28="*")),1,IF(AND(AE27="*",OR(AD28="*",AE28="*",AF28="*")),1,IF(AND(AF27="*",OR(AD28="*",AE28="*",AF28="*")),1,"")))</f>
        <v/>
      </c>
      <c r="AM27" s="41" t="str">
        <f>IF(AND(AC27="*",AC28="*"),1,"")</f>
        <v/>
      </c>
      <c r="AO27" s="41"/>
      <c r="AP27" s="41"/>
      <c r="AQ27" s="41"/>
      <c r="AR27" s="41"/>
      <c r="AS27" s="41"/>
      <c r="AT27" s="41" t="str">
        <f>IF(AND(AO27="*",OR(AP28="*",AQ28="*",AR28="*")), 1,"")</f>
        <v/>
      </c>
      <c r="AU27" s="41" t="str">
        <f>IF(AND(AO27="*",AS28="*"),1,"")</f>
        <v/>
      </c>
      <c r="AV27" s="41" t="str">
        <f>IF(AND(AS28="*", OR(AP27="*", AQ27="*",AR27="*")),1,"")</f>
        <v/>
      </c>
      <c r="AW27" s="41" t="str">
        <f>IF(AND(AO28="*",OR(AP27="*",AQ27="*",AR27="*",AS27="*")),1,IF(AND(AS27="*",OR(AO28="*",AP28="*",AQ28="*",AR28="*")),1,""))</f>
        <v/>
      </c>
      <c r="AX27" s="41" t="str">
        <f>IF(AND(AP27="*",OR(AP28="*",AQ28="*",AR28="*")),1,IF(AND(AQ27="*",OR(AP28="*",AQ28="*",AR28="*")),1,IF(AND(AR27="*",OR(AP28="*",AQ28="*",AR28="*")),1,"")))</f>
        <v/>
      </c>
      <c r="AY27" s="41" t="str">
        <f>IF(AND(AO27="*",AO28="*"),1,"")</f>
        <v/>
      </c>
      <c r="BA27" s="41"/>
      <c r="BB27" s="41"/>
      <c r="BC27" s="41"/>
      <c r="BD27" s="41"/>
      <c r="BE27" s="41"/>
      <c r="BF27" s="41" t="str">
        <f>IF(AND(BA27="*",OR(BB28="*",BC28="*",BD28="*")), 1,"")</f>
        <v/>
      </c>
      <c r="BG27" s="41" t="str">
        <f>IF(AND(BA27="*",BE28="*"),1,"")</f>
        <v/>
      </c>
      <c r="BH27" s="41" t="str">
        <f>IF(AND(BE28="*", OR(BB27="*", BC27="*",BD27="*")),1,"")</f>
        <v/>
      </c>
      <c r="BI27" s="41" t="str">
        <f>IF(AND(BA28="*",OR(BB27="*",BC27="*",BD27="*",BE27="*")),1,IF(AND(BE27="*",OR(BA28="*",BB28="*",BC28="*",BD28="*")),1,""))</f>
        <v/>
      </c>
      <c r="BJ27" s="41" t="str">
        <f>IF(AND(BB27="*",OR(BB28="*",BC28="*",BD28="*")),1,IF(AND(BC27="*",OR(BB28="*",BC28="*",BD28="*")),1,IF(AND(BD27="*",OR(BB28="*",BC28="*",BD28="*")),1,"")))</f>
        <v/>
      </c>
      <c r="BK27" s="41" t="str">
        <f>IF(AND(BA27="*",BA28="*"),1,"")</f>
        <v/>
      </c>
      <c r="BM27" s="41"/>
      <c r="BN27" s="41"/>
      <c r="BO27" s="41"/>
      <c r="BP27" s="41"/>
      <c r="BQ27" s="41"/>
      <c r="BR27" s="41"/>
      <c r="BS27" s="41" t="str">
        <f>IF(AND(BM27="*",OR(BN28="*",BO28="*",BP28="*")), 1,"")</f>
        <v/>
      </c>
      <c r="BT27" s="41" t="str">
        <f>IF(AND(BM27="*",BQ28="*"),1,"")</f>
        <v/>
      </c>
      <c r="BU27" s="41" t="str">
        <f>IF(AND(BQ28="*", OR(BN27="*", BO27="*",BP27="*")),1,"")</f>
        <v/>
      </c>
      <c r="BV27" s="41" t="str">
        <f>IF(AND(BM28="*",OR(BN27="*",BO27="*",BP27="*",BQ27="*")),1,IF(AND(BQ27="*",OR(BM28="*",BN28="*",BO28="*",BP28="*")),1,""))</f>
        <v/>
      </c>
      <c r="BW27" s="41" t="str">
        <f>IF(AND(BN27="*",OR(BN28="*",BO28="*",BP28="*")),1,IF(AND(BO27="*",OR(BN28="*",BO28="*",BP28="*")),1,IF(AND(BP27="*",OR(BN28="*",BO28="*",BP28="*")),1,"")))</f>
        <v/>
      </c>
      <c r="BX27" s="41" t="str">
        <f>IF(AND(BM27="*",BM28="*"),1,"")</f>
        <v/>
      </c>
      <c r="BZ27" s="41"/>
      <c r="CA27" s="41"/>
      <c r="CB27" s="41"/>
      <c r="CC27" s="41"/>
      <c r="CD27" s="41"/>
      <c r="CE27" s="41" t="str">
        <f>IF(AND(BZ27="*",OR(CA28="*",CB28="*",CC28="*")), 1,"")</f>
        <v/>
      </c>
      <c r="CF27" s="41" t="str">
        <f>IF(AND(BZ27="*",CD28="*"),1,"")</f>
        <v/>
      </c>
      <c r="CG27" s="41" t="str">
        <f>IF(AND(CD28="*", OR(CA27="*", CB27="*",CC27="*")),1,"")</f>
        <v/>
      </c>
      <c r="CH27" s="41" t="str">
        <f>IF(AND(BZ28="*",OR(CA27="*",CB27="*",CC27="*",CD27="*")),1,IF(AND(CD27="*",OR(BZ28="*",CA28="*",CB28="*",CC28="*")),1,""))</f>
        <v/>
      </c>
      <c r="CI27" s="41" t="str">
        <f>IF(AND(CA27="*",OR(CA28="*",CB28="*",CC28="*")),1,IF(AND(CB27="*",OR(CA28="*",CB28="*",CC28="*")),1,IF(AND(CC27="*",OR(CA28="*",CB28="*",CC28="*")),1,"")))</f>
        <v/>
      </c>
      <c r="CJ27" s="41" t="str">
        <f>IF(AND(BZ27="*",BZ28="*"),1,"")</f>
        <v/>
      </c>
      <c r="CL27" s="41"/>
      <c r="CM27" s="41"/>
      <c r="CN27" s="41"/>
      <c r="CO27" s="41"/>
      <c r="CP27" s="41"/>
      <c r="CQ27" s="41" t="str">
        <f>IF(AND(CL27="*",OR(CM28="*",CN28="*",CO28="*")), 1,"")</f>
        <v/>
      </c>
      <c r="CR27" s="41" t="str">
        <f>IF(AND(CL27="*",CP28="*"),1,"")</f>
        <v/>
      </c>
      <c r="CS27" s="41" t="str">
        <f>IF(AND(CP28="*", OR(CM27="*", CN27="*",CO27="*")),1,"")</f>
        <v/>
      </c>
      <c r="CT27" s="41" t="str">
        <f>IF(AND(CL28="*",OR(CM27="*",CN27="*",CO27="*",CP27="*")),1,IF(AND(CP27="*",OR(CL28="*",CM28="*",CN28="*",CO28="*")),1,""))</f>
        <v/>
      </c>
      <c r="CU27" s="41" t="str">
        <f>IF(AND(CM27="*",OR(CM28="*",CN28="*",CO28="*")),1,IF(AND(CN27="*",OR(CM28="*",CN28="*",CO28="*")),1,IF(AND(CO27="*",OR(CM28="*",CN28="*",CO28="*")),1,"")))</f>
        <v/>
      </c>
      <c r="CV27" s="41" t="str">
        <f>IF(AND(CL27="*",CL28="*"),1,"")</f>
        <v/>
      </c>
      <c r="CX27" s="41"/>
      <c r="CY27" s="41"/>
      <c r="CZ27" s="41"/>
      <c r="DA27" s="41"/>
      <c r="DB27" s="41"/>
      <c r="DC27" s="41" t="str">
        <f>IF(AND(CX27="*",OR(CY28="*",CZ28="*",DA28="*")), 1,"")</f>
        <v/>
      </c>
      <c r="DD27" s="41" t="str">
        <f>IF(AND(CX27="*",DB28="*"),1,"")</f>
        <v/>
      </c>
      <c r="DE27" s="41" t="str">
        <f>IF(AND(DB28="*", OR(CY27="*", CZ27="*",DA27="*")),1,"")</f>
        <v/>
      </c>
      <c r="DF27" s="41" t="str">
        <f>IF(AND(CX28="*",OR(CY27="*",CZ27="*",DA27="*",DB27="*")),1,IF(AND(DB27="*",OR(CX28="*",CY28="*",CZ28="*",DA28="*")),1,""))</f>
        <v/>
      </c>
      <c r="DG27" s="41" t="str">
        <f>IF(AND(CY27="*",OR(CY28="*",CZ28="*",DA28="*")),1,IF(AND(CZ27="*",OR(CY28="*",CZ28="*",DA28="*")),1,IF(AND(DA27="*",OR(CY28="*",CZ28="*",DA28="*")),1,"")))</f>
        <v/>
      </c>
      <c r="DH27" s="41" t="str">
        <f>IF(AND(CX27="*",CX28="*"),1,"")</f>
        <v/>
      </c>
      <c r="DJ27" s="41"/>
      <c r="DK27" s="41"/>
      <c r="DL27" s="41"/>
      <c r="DM27" s="41"/>
      <c r="DN27" s="41"/>
      <c r="DO27" s="41" t="str">
        <f>IF(AND(DJ27="*",OR(DK28="*",DL28="*",DM28="*")), 1,"")</f>
        <v/>
      </c>
      <c r="DP27" s="41" t="str">
        <f>IF(AND(DJ27="*",DN28="*"),1,"")</f>
        <v/>
      </c>
      <c r="DQ27" s="41" t="str">
        <f>IF(AND(DN28="*", OR(DK27="*", DL27="*",DM27="*")),1,"")</f>
        <v/>
      </c>
      <c r="DR27" s="41" t="str">
        <f>IF(AND(DJ28="*",OR(DK27="*",DL27="*",DM27="*",DN27="*")),1,IF(AND(DN27="*",OR(DJ28="*",DK28="*",DL28="*",DM28="*")),1,""))</f>
        <v/>
      </c>
      <c r="DS27" s="41" t="str">
        <f>IF(AND(DK27="*",OR(DK28="*",DL28="*",DM28="*")),1,IF(AND(DL27="*",OR(DK28="*",DL28="*",DM28="*")),1,IF(AND(DM27="*",OR(DK28="*",DL28="*",DM28="*")),1,"")))</f>
        <v/>
      </c>
      <c r="DT27" s="41" t="str">
        <f>IF(AND(DJ27="*",DJ28="*"),1,"")</f>
        <v/>
      </c>
      <c r="DV27" s="41"/>
      <c r="DW27" s="41"/>
      <c r="DX27" s="41"/>
      <c r="DY27" s="41"/>
      <c r="DZ27" s="41"/>
      <c r="EA27" s="41" t="str">
        <f>IF(AND(DV27="*",OR(DW28="*",DX28="*",DY28="*")), 1,"")</f>
        <v/>
      </c>
      <c r="EB27" s="41" t="str">
        <f>IF(AND(DV27="*",DZ28="*"),1,"")</f>
        <v/>
      </c>
      <c r="EC27" s="41" t="str">
        <f>IF(AND(DZ28="*", OR(DW27="*", DX27="*",DY27="*")),1,"")</f>
        <v/>
      </c>
      <c r="ED27" s="41" t="str">
        <f>IF(AND(DV28="*",OR(DW27="*",DX27="*",DY27="*",DZ27="*")),1,IF(AND(DZ27="*",OR(DV28="*",DW28="*",DX28="*",DY28="*")),1,""))</f>
        <v/>
      </c>
      <c r="EE27" s="41" t="str">
        <f>IF(AND(DW27="*",OR(DW28="*",DX28="*",DY28="*")),1,IF(AND(DX27="*",OR(DW28="*",DX28="*",DY28="*")),1,IF(AND(DY27="*",OR(DW28="*",DX28="*",DY28="*")),1,"")))</f>
        <v/>
      </c>
      <c r="EF27" s="41" t="str">
        <f>IF(AND(DV27="*",DV28="*"),1,"")</f>
        <v/>
      </c>
      <c r="EH27" s="41"/>
      <c r="EI27" s="41"/>
      <c r="EJ27" s="41"/>
      <c r="EK27" s="41"/>
      <c r="EL27" s="41"/>
      <c r="EM27" s="41" t="str">
        <f>IF(AND(EH27="*",OR(EI28="*",EJ28="*",EK28="*")), 1,"")</f>
        <v/>
      </c>
      <c r="EN27" s="41" t="str">
        <f>IF(AND(EH27="*",EL28="*"),1,"")</f>
        <v/>
      </c>
      <c r="EO27" s="41" t="str">
        <f>IF(AND(EL28="*", OR(EI27="*", EJ27="*",EK27="*")),1,"")</f>
        <v/>
      </c>
      <c r="EP27" s="41" t="str">
        <f>IF(AND(EH28="*",OR(EI27="*",EJ27="*",EK27="*",EL27="*")),1,IF(AND(EL27="*",OR(EH28="*",EI28="*",EJ28="*",EK28="*")),1,""))</f>
        <v/>
      </c>
      <c r="EQ27" s="41" t="str">
        <f>IF(AND(EI27="*",OR(EI28="*",EJ28="*",EK28="*")),1,IF(AND(EJ27="*",OR(EI28="*",EJ28="*",EK28="*")),1,IF(AND(EK27="*",OR(EI28="*",EJ28="*",EK28="*")),1,"")))</f>
        <v/>
      </c>
      <c r="ER27" s="41" t="str">
        <f>IF(AND(EH27="*",EH28="*"),1,"")</f>
        <v/>
      </c>
      <c r="ET27" s="41"/>
      <c r="EU27" s="41"/>
      <c r="EV27" s="41"/>
      <c r="EW27" s="41"/>
      <c r="EX27" s="41"/>
      <c r="EY27" s="41" t="str">
        <f>IF(AND(ET27="*",OR(EU28="*",EV28="*",EW28="*")), 1,"")</f>
        <v/>
      </c>
      <c r="EZ27" s="41" t="str">
        <f>IF(AND(ET27="*",EX28="*"),1,"")</f>
        <v/>
      </c>
      <c r="FA27" s="41" t="str">
        <f>IF(AND(EX28="*", OR(EU27="*", EV27="*",EW27="*")),1,"")</f>
        <v/>
      </c>
      <c r="FB27" s="41" t="str">
        <f>IF(AND(ET28="*",OR(EU27="*",EV27="*",EW27="*",EX27="*")),1,IF(AND(EX27="*",OR(ET28="*",EU28="*",EV28="*",EW28="*")),1,""))</f>
        <v/>
      </c>
      <c r="FC27" s="41" t="str">
        <f>IF(AND(EU27="*",OR(EU28="*",EV28="*",EW28="*")),1,IF(AND(EV27="*",OR(EU28="*",EV28="*",EW28="*")),1,IF(AND(EW27="*",OR(EU28="*",EV28="*",EW28="*")),1,"")))</f>
        <v/>
      </c>
      <c r="FD27" s="41" t="str">
        <f>IF(AND(ET27="*",ET28="*"),1,"")</f>
        <v/>
      </c>
      <c r="FF27" s="41"/>
      <c r="FG27" s="41"/>
      <c r="FH27" s="41"/>
      <c r="FI27" s="41"/>
      <c r="FJ27" s="41"/>
      <c r="FK27" s="41" t="str">
        <f>IF(AND(FF27="*",OR(FG28="*",FH28="*",FI28="*")), 1,"")</f>
        <v/>
      </c>
      <c r="FL27" s="41" t="str">
        <f>IF(AND(FF27="*",FJ28="*"),1,"")</f>
        <v/>
      </c>
      <c r="FM27" s="41" t="str">
        <f>IF(AND(FJ28="*", OR(FG27="*", FH27="*",FI27="*")),1,"")</f>
        <v/>
      </c>
      <c r="FN27" s="41" t="str">
        <f>IF(AND(FF28="*",OR(FG27="*",FH27="*",FI27="*",FJ27="*")),1,IF(AND(FJ27="*",OR(FF28="*",FG28="*",FH28="*",FI28="*")),1,""))</f>
        <v/>
      </c>
      <c r="FO27" s="41" t="str">
        <f>IF(AND(FG27="*",OR(FG28="*",FH28="*",FI28="*")),1,IF(AND(FH27="*",OR(FG28="*",FH28="*",FI28="*")),1,IF(AND(FI27="*",OR(FG28="*",FH28="*",FI28="*")),1,"")))</f>
        <v/>
      </c>
      <c r="FP27" s="41" t="str">
        <f>IF(AND(FF27="*",FF28="*"),1,"")</f>
        <v/>
      </c>
      <c r="FR27" s="41"/>
      <c r="FS27" s="41"/>
      <c r="FT27" s="41"/>
      <c r="FU27" s="41"/>
      <c r="FV27" s="41"/>
      <c r="FW27" s="41" t="str">
        <f>IF(AND(FR27="*",OR(FS28="*",FT28="*",FU28="*")), 1,"")</f>
        <v/>
      </c>
      <c r="FX27" s="41" t="str">
        <f>IF(AND(FR27="*",FV28="*"),1,"")</f>
        <v/>
      </c>
      <c r="FY27" s="41" t="str">
        <f>IF(AND(FV28="*", OR(FS27="*", FT27="*",FU27="*")),1,"")</f>
        <v/>
      </c>
      <c r="FZ27" s="41" t="str">
        <f>IF(AND(FR28="*",OR(FS27="*",FT27="*",FU27="*",FV27="*")),1,IF(AND(FV27="*",OR(FR28="*",FS28="*",FT28="*",FU28="*")),1,""))</f>
        <v/>
      </c>
      <c r="GA27" s="41" t="str">
        <f>IF(AND(FS27="*",OR(FS28="*",FT28="*",FU28="*")),1,IF(AND(FT27="*",OR(FS28="*",FT28="*",FU28="*")),1,IF(AND(FU27="*",OR(FS28="*",FT28="*",FU28="*")),1,"")))</f>
        <v/>
      </c>
      <c r="GB27" s="41" t="str">
        <f>IF(AND(FR27="*",FR28="*"),1,"")</f>
        <v/>
      </c>
      <c r="GD27" s="41"/>
      <c r="GE27" s="41"/>
      <c r="GF27" s="41"/>
      <c r="GG27" s="41"/>
      <c r="GH27" s="41"/>
      <c r="GI27" s="41"/>
      <c r="GJ27" s="41" t="str">
        <f>IF(AND(GD27="*",OR(GE28="*",GF28="*",GG28="*")), 1,"")</f>
        <v/>
      </c>
      <c r="GK27" s="41" t="str">
        <f>IF(AND(GD27="*",GH28="*"),1,"")</f>
        <v/>
      </c>
      <c r="GL27" s="41" t="str">
        <f>IF(AND(GH28="*", OR(GE27="*", GF27="*",GG27="*")),1,"")</f>
        <v/>
      </c>
      <c r="GM27" s="41" t="str">
        <f>IF(AND(GD28="*",OR(GE27="*",GF27="*",GG27="*",GH27="*")),1,IF(AND(GH27="*",OR(GD28="*",GE28="*",GF28="*",GG28="*")),1,""))</f>
        <v/>
      </c>
      <c r="GN27" s="41" t="str">
        <f>IF(AND(GE27="*",OR(GE28="*",GF28="*",GG28="*")),1,IF(AND(GF27="*",OR(GE28="*",GF28="*",GG28="*")),1,IF(AND(GG27="*",OR(GE28="*",GF28="*",GG28="*")),1,"")))</f>
        <v/>
      </c>
      <c r="GO27" s="41" t="str">
        <f>IF(AND(GD27="*",GD28="*"),1,"")</f>
        <v/>
      </c>
      <c r="GQ27" s="41"/>
      <c r="GR27" s="41"/>
      <c r="GS27" s="41"/>
      <c r="GT27" s="41"/>
      <c r="GU27" s="41"/>
      <c r="GV27" s="41" t="str">
        <f>IF(AND(GQ27="*",OR(GR28="*",GS28="*",GT28="*")), 1,"")</f>
        <v/>
      </c>
      <c r="GW27" s="41" t="str">
        <f>IF(AND(GQ27="*",GU28="*"),1,"")</f>
        <v/>
      </c>
      <c r="GX27" s="41" t="str">
        <f>IF(AND(GU28="*", OR(GR27="*", GS27="*",GT27="*")),1,"")</f>
        <v/>
      </c>
      <c r="GY27" s="41" t="str">
        <f>IF(AND(GQ28="*",OR(GR27="*",GS27="*",GT27="*",GU27="*")),1,IF(AND(GU27="*",OR(GQ28="*",GR28="*",GS28="*",GT28="*")),1,""))</f>
        <v/>
      </c>
      <c r="GZ27" s="41" t="str">
        <f>IF(AND(GR27="*",OR(GR28="*",GS28="*",GT28="*")),1,IF(AND(GS27="*",OR(GR28="*",GS28="*",GT28="*")),1,IF(AND(GT27="*",OR(GR28="*",GS28="*",GT28="*")),1,"")))</f>
        <v/>
      </c>
      <c r="HA27" s="41" t="str">
        <f>IF(AND(GQ27="*",GQ28="*"),1,"")</f>
        <v/>
      </c>
      <c r="HC27" s="41"/>
      <c r="HD27" s="41"/>
      <c r="HE27" s="41"/>
      <c r="HF27" s="41"/>
      <c r="HG27" s="41"/>
      <c r="HH27" s="41" t="str">
        <f>IF(AND(HC27="*",OR(HD28="*",HE28="*",HF28="*")), 1,"")</f>
        <v/>
      </c>
      <c r="HI27" s="41" t="str">
        <f>IF(AND(HC27="*",HG28="*"),1,"")</f>
        <v/>
      </c>
      <c r="HJ27" s="41" t="str">
        <f>IF(AND(HG28="*", OR(HD27="*", HE27="*",HF27="*")),1,"")</f>
        <v/>
      </c>
      <c r="HK27" s="41" t="str">
        <f>IF(AND(HC28="*",OR(HD27="*",HE27="*",HF27="*",HG27="*")),1,IF(AND(HG27="*",OR(HC28="*",HD28="*",HE28="*",HF28="*")),1,""))</f>
        <v/>
      </c>
      <c r="HL27" s="41" t="str">
        <f>IF(AND(HD27="*",OR(HD28="*",HE28="*",HF28="*")),1,IF(AND(HE27="*",OR(HD28="*",HE28="*",HF28="*")),1,IF(AND(HF27="*",OR(HD28="*",HE28="*",HF28="*")),1,"")))</f>
        <v/>
      </c>
      <c r="HM27" s="41" t="str">
        <f>IF(AND(HC27="*",HC28="*"),1,"")</f>
        <v/>
      </c>
      <c r="HO27" s="41"/>
      <c r="HP27" s="41"/>
      <c r="HQ27" s="41"/>
      <c r="HR27" s="41"/>
      <c r="HS27" s="41"/>
      <c r="HT27" s="41" t="str">
        <f>IF(AND(HO27="*",OR(HP28="*",HQ28="*",HR28="*")), 1,"")</f>
        <v/>
      </c>
      <c r="HU27" s="41" t="str">
        <f>IF(AND(HO27="*",HS28="*"),1,"")</f>
        <v/>
      </c>
      <c r="HV27" s="41" t="str">
        <f>IF(AND(HS28="*", OR(HP27="*", HQ27="*",HR27="*")),1,"")</f>
        <v/>
      </c>
      <c r="HW27" s="41" t="str">
        <f>IF(AND(HO28="*",OR(HP27="*",HQ27="*",HR27="*",HS27="*")),1,IF(AND(HS27="*",OR(HO28="*",HP28="*",HQ28="*",HR28="*")),1,""))</f>
        <v/>
      </c>
      <c r="HX27" s="41" t="str">
        <f>IF(AND(HP27="*",OR(HP28="*",HQ28="*",HR28="*")),1,IF(AND(HQ27="*",OR(HP28="*",HQ28="*",HR28="*")),1,IF(AND(HR27="*",OR(HP28="*",HQ28="*",HR28="*")),1,"")))</f>
        <v/>
      </c>
      <c r="HY27" s="41" t="str">
        <f>IF(AND(HO27="*",HO28="*"),1,"")</f>
        <v/>
      </c>
      <c r="IA27" s="41"/>
      <c r="IB27" s="41"/>
      <c r="IC27" s="41"/>
      <c r="ID27" s="41"/>
      <c r="IE27" s="41"/>
      <c r="IF27" s="41" t="str">
        <f>IF(AND(IA27="*",OR(IB28="*",IC28="*",ID28="*")), 1,"")</f>
        <v/>
      </c>
      <c r="IG27" s="41" t="str">
        <f>IF(AND(IA27="*",IE28="*"),1,"")</f>
        <v/>
      </c>
      <c r="IH27" s="41" t="str">
        <f>IF(AND(IE28="*", OR(IB27="*", IC27="*",ID27="*")),1,"")</f>
        <v/>
      </c>
      <c r="II27" s="41" t="str">
        <f>IF(AND(IA28="*",OR(IB27="*",IC27="*",ID27="*",IE27="*")),1,IF(AND(IE27="*",OR(IA28="*",IB28="*",IC28="*",ID28="*")),1,""))</f>
        <v/>
      </c>
      <c r="IJ27" s="41" t="str">
        <f>IF(AND(IB27="*",OR(IB28="*",IC28="*",ID28="*")),1,IF(AND(IC27="*",OR(IB28="*",IC28="*",ID28="*")),1,IF(AND(ID27="*",OR(IB28="*",IC28="*",ID28="*")),1,"")))</f>
        <v/>
      </c>
      <c r="IK27" s="41" t="str">
        <f>IF(AND(IA27="*",IA28="*"),1,"")</f>
        <v/>
      </c>
      <c r="IL27" s="41">
        <f>COUNT(J27,V27,AH27,AT27,BF27,BS27,CE27,CQ27,DC27,DO27,EA27,EM27,EY27,FK27,FW27,GJ27,GV27,HH27,HT27,IF27)</f>
        <v>0</v>
      </c>
      <c r="IM27" s="41">
        <f t="shared" ref="IM27:IQ27" si="12">COUNT(K27,W27,AI27,AU27,BG27,BT27,CF27,CR27,DD27,DP27,EB27,EN27,EZ27,FL27,FX27,GK27,GW27,HI27,HU27,IG27)</f>
        <v>0</v>
      </c>
      <c r="IN27" s="41">
        <f t="shared" si="12"/>
        <v>0</v>
      </c>
      <c r="IO27" s="41">
        <f t="shared" si="12"/>
        <v>0</v>
      </c>
      <c r="IP27" s="41">
        <f t="shared" si="12"/>
        <v>0</v>
      </c>
      <c r="IQ27" s="41">
        <f t="shared" si="12"/>
        <v>0</v>
      </c>
    </row>
    <row r="28" spans="2:251" ht="15" customHeight="1" x14ac:dyDescent="0.4">
      <c r="B28" s="277"/>
      <c r="C28" s="279"/>
      <c r="D28" s="42" t="s">
        <v>52</v>
      </c>
      <c r="E28" s="41"/>
      <c r="F28" s="41"/>
      <c r="G28" s="41"/>
      <c r="H28" s="41"/>
      <c r="I28" s="41"/>
      <c r="J28" s="43"/>
      <c r="K28" s="43"/>
      <c r="L28" s="43"/>
      <c r="M28" s="43"/>
      <c r="N28" s="43"/>
      <c r="O28" s="43"/>
      <c r="Q28" s="41"/>
      <c r="R28" s="41"/>
      <c r="S28" s="41"/>
      <c r="T28" s="41"/>
      <c r="U28" s="41"/>
      <c r="V28" s="43"/>
      <c r="W28" s="43"/>
      <c r="X28" s="43"/>
      <c r="Y28" s="43"/>
      <c r="Z28" s="43"/>
      <c r="AA28" s="43"/>
      <c r="AC28" s="41"/>
      <c r="AD28" s="41"/>
      <c r="AE28" s="41"/>
      <c r="AF28" s="41"/>
      <c r="AG28" s="41"/>
      <c r="AH28" s="43"/>
      <c r="AI28" s="43"/>
      <c r="AJ28" s="43"/>
      <c r="AK28" s="43"/>
      <c r="AL28" s="43"/>
      <c r="AM28" s="43"/>
      <c r="AO28" s="41"/>
      <c r="AP28" s="41"/>
      <c r="AQ28" s="41"/>
      <c r="AR28" s="41"/>
      <c r="AS28" s="41"/>
      <c r="AT28" s="43"/>
      <c r="AU28" s="43"/>
      <c r="AV28" s="43"/>
      <c r="AW28" s="43"/>
      <c r="AX28" s="43"/>
      <c r="AY28" s="43"/>
      <c r="BA28" s="41"/>
      <c r="BB28" s="41"/>
      <c r="BC28" s="41"/>
      <c r="BD28" s="41"/>
      <c r="BE28" s="41"/>
      <c r="BF28" s="43"/>
      <c r="BG28" s="43"/>
      <c r="BH28" s="43"/>
      <c r="BI28" s="43"/>
      <c r="BJ28" s="43"/>
      <c r="BK28" s="43"/>
      <c r="BM28" s="41"/>
      <c r="BN28" s="41"/>
      <c r="BO28" s="41"/>
      <c r="BP28" s="41"/>
      <c r="BQ28" s="41"/>
      <c r="BR28" s="41"/>
      <c r="BS28" s="43"/>
      <c r="BT28" s="43"/>
      <c r="BU28" s="43"/>
      <c r="BV28" s="43"/>
      <c r="BW28" s="43"/>
      <c r="BX28" s="43"/>
      <c r="BZ28" s="41"/>
      <c r="CA28" s="41"/>
      <c r="CB28" s="41"/>
      <c r="CC28" s="41"/>
      <c r="CD28" s="41"/>
      <c r="CE28" s="43"/>
      <c r="CF28" s="43"/>
      <c r="CG28" s="43"/>
      <c r="CH28" s="43"/>
      <c r="CI28" s="43"/>
      <c r="CJ28" s="43"/>
      <c r="CL28" s="41"/>
      <c r="CM28" s="41"/>
      <c r="CN28" s="41"/>
      <c r="CO28" s="41"/>
      <c r="CP28" s="41"/>
      <c r="CQ28" s="43"/>
      <c r="CR28" s="43"/>
      <c r="CS28" s="43"/>
      <c r="CT28" s="43"/>
      <c r="CU28" s="43"/>
      <c r="CV28" s="43"/>
      <c r="CX28" s="41"/>
      <c r="CY28" s="41"/>
      <c r="CZ28" s="41"/>
      <c r="DA28" s="41"/>
      <c r="DB28" s="41"/>
      <c r="DC28" s="43"/>
      <c r="DD28" s="43"/>
      <c r="DE28" s="43"/>
      <c r="DF28" s="43"/>
      <c r="DG28" s="43"/>
      <c r="DH28" s="43"/>
      <c r="DJ28" s="41"/>
      <c r="DK28" s="41"/>
      <c r="DL28" s="41"/>
      <c r="DM28" s="41"/>
      <c r="DN28" s="41"/>
      <c r="DO28" s="43"/>
      <c r="DP28" s="43"/>
      <c r="DQ28" s="43"/>
      <c r="DR28" s="43"/>
      <c r="DS28" s="43"/>
      <c r="DT28" s="43"/>
      <c r="DV28" s="41"/>
      <c r="DW28" s="41"/>
      <c r="DX28" s="41"/>
      <c r="DY28" s="41"/>
      <c r="DZ28" s="41"/>
      <c r="EA28" s="43"/>
      <c r="EB28" s="43"/>
      <c r="EC28" s="43"/>
      <c r="ED28" s="43"/>
      <c r="EE28" s="43"/>
      <c r="EF28" s="43"/>
      <c r="EH28" s="41"/>
      <c r="EI28" s="41"/>
      <c r="EJ28" s="41"/>
      <c r="EK28" s="41"/>
      <c r="EL28" s="41"/>
      <c r="EM28" s="43"/>
      <c r="EN28" s="43"/>
      <c r="EO28" s="43"/>
      <c r="EP28" s="43"/>
      <c r="EQ28" s="43"/>
      <c r="ER28" s="43"/>
      <c r="ET28" s="41"/>
      <c r="EU28" s="41"/>
      <c r="EV28" s="41"/>
      <c r="EW28" s="41"/>
      <c r="EX28" s="41"/>
      <c r="EY28" s="43"/>
      <c r="EZ28" s="43"/>
      <c r="FA28" s="43"/>
      <c r="FB28" s="43"/>
      <c r="FC28" s="43"/>
      <c r="FD28" s="43"/>
      <c r="FF28" s="41"/>
      <c r="FG28" s="41"/>
      <c r="FH28" s="41"/>
      <c r="FI28" s="41"/>
      <c r="FJ28" s="41"/>
      <c r="FK28" s="43"/>
      <c r="FL28" s="43"/>
      <c r="FM28" s="43"/>
      <c r="FN28" s="43"/>
      <c r="FO28" s="43"/>
      <c r="FP28" s="43"/>
      <c r="FR28" s="41"/>
      <c r="FS28" s="41"/>
      <c r="FT28" s="41"/>
      <c r="FU28" s="41"/>
      <c r="FV28" s="41"/>
      <c r="FW28" s="43"/>
      <c r="FX28" s="43"/>
      <c r="FY28" s="43"/>
      <c r="FZ28" s="43"/>
      <c r="GA28" s="43"/>
      <c r="GB28" s="43"/>
      <c r="GD28" s="41"/>
      <c r="GE28" s="41"/>
      <c r="GF28" s="41"/>
      <c r="GG28" s="41"/>
      <c r="GH28" s="41"/>
      <c r="GI28" s="41"/>
      <c r="GJ28" s="43"/>
      <c r="GK28" s="43"/>
      <c r="GL28" s="43"/>
      <c r="GM28" s="43"/>
      <c r="GN28" s="43"/>
      <c r="GO28" s="43"/>
      <c r="GQ28" s="41"/>
      <c r="GR28" s="41"/>
      <c r="GS28" s="41"/>
      <c r="GT28" s="41"/>
      <c r="GU28" s="41"/>
      <c r="GV28" s="43"/>
      <c r="GW28" s="43"/>
      <c r="GX28" s="43"/>
      <c r="GY28" s="43"/>
      <c r="GZ28" s="43"/>
      <c r="HA28" s="43"/>
      <c r="HC28" s="41"/>
      <c r="HD28" s="41"/>
      <c r="HE28" s="41"/>
      <c r="HF28" s="41"/>
      <c r="HG28" s="41"/>
      <c r="HH28" s="43"/>
      <c r="HI28" s="43"/>
      <c r="HJ28" s="43"/>
      <c r="HK28" s="43"/>
      <c r="HL28" s="43"/>
      <c r="HM28" s="43"/>
      <c r="HO28" s="41"/>
      <c r="HP28" s="41"/>
      <c r="HQ28" s="41"/>
      <c r="HR28" s="41"/>
      <c r="HS28" s="41"/>
      <c r="HT28" s="43"/>
      <c r="HU28" s="43"/>
      <c r="HV28" s="43"/>
      <c r="HW28" s="43"/>
      <c r="HX28" s="43"/>
      <c r="HY28" s="43"/>
      <c r="IA28" s="41"/>
      <c r="IB28" s="41"/>
      <c r="IC28" s="41"/>
      <c r="ID28" s="41"/>
      <c r="IE28" s="41"/>
      <c r="IF28" s="43"/>
      <c r="IG28" s="43"/>
      <c r="IH28" s="43"/>
      <c r="II28" s="43"/>
      <c r="IJ28" s="43"/>
      <c r="IK28" s="43"/>
    </row>
    <row r="29" spans="2:251" ht="15" customHeight="1" x14ac:dyDescent="0.4">
      <c r="B29" s="273">
        <v>14</v>
      </c>
      <c r="C29" s="274">
        <f>고객요구사항도출표!C18</f>
        <v>0</v>
      </c>
      <c r="D29" s="40" t="s">
        <v>66</v>
      </c>
      <c r="E29" s="44"/>
      <c r="F29" s="44"/>
      <c r="G29" s="44"/>
      <c r="H29" s="44"/>
      <c r="I29" s="44"/>
      <c r="J29" s="44" t="str">
        <f>IF(AND(E29="*",OR(F30="*",G30="*",H30="*")), 1,"")</f>
        <v/>
      </c>
      <c r="K29" s="44" t="str">
        <f>IF(AND(E29="*",I30="*"),1,"")</f>
        <v/>
      </c>
      <c r="L29" s="44" t="str">
        <f>IF(AND(I30="*", OR(F29="*", G29="*",H29="*")),1,"")</f>
        <v/>
      </c>
      <c r="M29" s="44" t="str">
        <f>IF(AND(E30="*",OR(F29="*",G29="*",H29="*",I29="*")),1,IF(AND(I29="*",OR(E30="*",F30="*",G30="*",H30="*")),1,""))</f>
        <v/>
      </c>
      <c r="N29" s="44" t="str">
        <f>IF(AND(F29="*",OR(F30="*",G30="*",H30="*")),1,IF(AND(G29="*",OR(F30="*",G30="*",H30="*")),1,IF(AND(H29="*",OR(F30="*",G30="*",H30="*")),1,"")))</f>
        <v/>
      </c>
      <c r="O29" s="44" t="str">
        <f>IF(AND(E29="*",E30="*"),1,"")</f>
        <v/>
      </c>
      <c r="Q29" s="44"/>
      <c r="R29" s="44"/>
      <c r="S29" s="44"/>
      <c r="T29" s="44"/>
      <c r="U29" s="44"/>
      <c r="V29" s="44" t="str">
        <f>IF(AND(Q29="*",OR(R30="*",S30="*",T30="*")), 1,"")</f>
        <v/>
      </c>
      <c r="W29" s="44" t="str">
        <f>IF(AND(Q29="*",U30="*"),1,"")</f>
        <v/>
      </c>
      <c r="X29" s="44" t="str">
        <f>IF(AND(U30="*", OR(R29="*", S29="*",T29="*")),1,"")</f>
        <v/>
      </c>
      <c r="Y29" s="44" t="str">
        <f>IF(AND(Q30="*",OR(R29="*",S29="*",T29="*",U29="*")),1,IF(AND(U29="*",OR(Q30="*",R30="*",S30="*",T30="*")),1,""))</f>
        <v/>
      </c>
      <c r="Z29" s="44" t="str">
        <f>IF(AND(R29="*",OR(R30="*",S30="*",T30="*")),1,IF(AND(S29="*",OR(R30="*",S30="*",T30="*")),1,IF(AND(T29="*",OR(R30="*",S30="*",T30="*")),1,"")))</f>
        <v/>
      </c>
      <c r="AA29" s="44" t="str">
        <f>IF(AND(Q29="*",Q30="*"),1,"")</f>
        <v/>
      </c>
      <c r="AC29" s="44"/>
      <c r="AD29" s="44"/>
      <c r="AE29" s="44"/>
      <c r="AF29" s="44"/>
      <c r="AG29" s="44"/>
      <c r="AH29" s="44" t="str">
        <f>IF(AND(AC29="*",OR(AD30="*",AE30="*",AF30="*")), 1,"")</f>
        <v/>
      </c>
      <c r="AI29" s="44" t="str">
        <f>IF(AND(AC29="*",AG30="*"),1,"")</f>
        <v/>
      </c>
      <c r="AJ29" s="44" t="str">
        <f>IF(AND(AG30="*", OR(AD29="*", AE29="*",AF29="*")),1,"")</f>
        <v/>
      </c>
      <c r="AK29" s="44" t="str">
        <f>IF(AND(AC30="*",OR(AD29="*",AE29="*",AF29="*",AG29="*")),1,IF(AND(AG29="*",OR(AC30="*",AD30="*",AE30="*",AF30="*")),1,""))</f>
        <v/>
      </c>
      <c r="AL29" s="44" t="str">
        <f>IF(AND(AD29="*",OR(AD30="*",AE30="*",AF30="*")),1,IF(AND(AE29="*",OR(AD30="*",AE30="*",AF30="*")),1,IF(AND(AF29="*",OR(AD30="*",AE30="*",AF30="*")),1,"")))</f>
        <v/>
      </c>
      <c r="AM29" s="44" t="str">
        <f>IF(AND(AC29="*",AC30="*"),1,"")</f>
        <v/>
      </c>
      <c r="AO29" s="44"/>
      <c r="AP29" s="44"/>
      <c r="AQ29" s="44"/>
      <c r="AR29" s="44"/>
      <c r="AS29" s="44"/>
      <c r="AT29" s="44" t="str">
        <f>IF(AND(AO29="*",OR(AP30="*",AQ30="*",AR30="*")), 1,"")</f>
        <v/>
      </c>
      <c r="AU29" s="44" t="str">
        <f>IF(AND(AO29="*",AS30="*"),1,"")</f>
        <v/>
      </c>
      <c r="AV29" s="44" t="str">
        <f>IF(AND(AS30="*", OR(AP29="*", AQ29="*",AR29="*")),1,"")</f>
        <v/>
      </c>
      <c r="AW29" s="44" t="str">
        <f>IF(AND(AO30="*",OR(AP29="*",AQ29="*",AR29="*",AS29="*")),1,IF(AND(AS29="*",OR(AO30="*",AP30="*",AQ30="*",AR30="*")),1,""))</f>
        <v/>
      </c>
      <c r="AX29" s="44" t="str">
        <f>IF(AND(AP29="*",OR(AP30="*",AQ30="*",AR30="*")),1,IF(AND(AQ29="*",OR(AP30="*",AQ30="*",AR30="*")),1,IF(AND(AR29="*",OR(AP30="*",AQ30="*",AR30="*")),1,"")))</f>
        <v/>
      </c>
      <c r="AY29" s="44" t="str">
        <f>IF(AND(AO29="*",AO30="*"),1,"")</f>
        <v/>
      </c>
      <c r="BA29" s="44"/>
      <c r="BB29" s="44"/>
      <c r="BC29" s="44"/>
      <c r="BD29" s="44"/>
      <c r="BE29" s="44"/>
      <c r="BF29" s="44" t="str">
        <f>IF(AND(BA29="*",OR(BB30="*",BC30="*",BD30="*")), 1,"")</f>
        <v/>
      </c>
      <c r="BG29" s="44" t="str">
        <f>IF(AND(BA29="*",BE30="*"),1,"")</f>
        <v/>
      </c>
      <c r="BH29" s="44" t="str">
        <f>IF(AND(BE30="*", OR(BB29="*", BC29="*",BD29="*")),1,"")</f>
        <v/>
      </c>
      <c r="BI29" s="44" t="str">
        <f>IF(AND(BA30="*",OR(BB29="*",BC29="*",BD29="*",BE29="*")),1,IF(AND(BE29="*",OR(BA30="*",BB30="*",BC30="*",BD30="*")),1,""))</f>
        <v/>
      </c>
      <c r="BJ29" s="44" t="str">
        <f>IF(AND(BB29="*",OR(BB30="*",BC30="*",BD30="*")),1,IF(AND(BC29="*",OR(BB30="*",BC30="*",BD30="*")),1,IF(AND(BD29="*",OR(BB30="*",BC30="*",BD30="*")),1,"")))</f>
        <v/>
      </c>
      <c r="BK29" s="44" t="str">
        <f>IF(AND(BA29="*",BA30="*"),1,"")</f>
        <v/>
      </c>
      <c r="BM29" s="44"/>
      <c r="BN29" s="44"/>
      <c r="BO29" s="44"/>
      <c r="BP29" s="44"/>
      <c r="BQ29" s="44"/>
      <c r="BR29" s="44"/>
      <c r="BS29" s="44" t="str">
        <f>IF(AND(BM29="*",OR(BN30="*",BO30="*",BP30="*")), 1,"")</f>
        <v/>
      </c>
      <c r="BT29" s="44" t="str">
        <f>IF(AND(BM29="*",BQ30="*"),1,"")</f>
        <v/>
      </c>
      <c r="BU29" s="44" t="str">
        <f>IF(AND(BQ30="*", OR(BN29="*", BO29="*",BP29="*")),1,"")</f>
        <v/>
      </c>
      <c r="BV29" s="44" t="str">
        <f>IF(AND(BM30="*",OR(BN29="*",BO29="*",BP29="*",BQ29="*")),1,IF(AND(BQ29="*",OR(BM30="*",BN30="*",BO30="*",BP30="*")),1,""))</f>
        <v/>
      </c>
      <c r="BW29" s="44" t="str">
        <f>IF(AND(BN29="*",OR(BN30="*",BO30="*",BP30="*")),1,IF(AND(BO29="*",OR(BN30="*",BO30="*",BP30="*")),1,IF(AND(BP29="*",OR(BN30="*",BO30="*",BP30="*")),1,"")))</f>
        <v/>
      </c>
      <c r="BX29" s="44" t="str">
        <f>IF(AND(BM29="*",BM30="*"),1,"")</f>
        <v/>
      </c>
      <c r="BZ29" s="44"/>
      <c r="CA29" s="44"/>
      <c r="CB29" s="44"/>
      <c r="CC29" s="44"/>
      <c r="CD29" s="44"/>
      <c r="CE29" s="44" t="str">
        <f>IF(AND(BZ29="*",OR(CA30="*",CB30="*",CC30="*")), 1,"")</f>
        <v/>
      </c>
      <c r="CF29" s="44" t="str">
        <f>IF(AND(BZ29="*",CD30="*"),1,"")</f>
        <v/>
      </c>
      <c r="CG29" s="44" t="str">
        <f>IF(AND(CD30="*", OR(CA29="*", CB29="*",CC29="*")),1,"")</f>
        <v/>
      </c>
      <c r="CH29" s="44" t="str">
        <f>IF(AND(BZ30="*",OR(CA29="*",CB29="*",CC29="*",CD29="*")),1,IF(AND(CD29="*",OR(BZ30="*",CA30="*",CB30="*",CC30="*")),1,""))</f>
        <v/>
      </c>
      <c r="CI29" s="44" t="str">
        <f>IF(AND(CA29="*",OR(CA30="*",CB30="*",CC30="*")),1,IF(AND(CB29="*",OR(CA30="*",CB30="*",CC30="*")),1,IF(AND(CC29="*",OR(CA30="*",CB30="*",CC30="*")),1,"")))</f>
        <v/>
      </c>
      <c r="CJ29" s="44" t="str">
        <f>IF(AND(BZ29="*",BZ30="*"),1,"")</f>
        <v/>
      </c>
      <c r="CL29" s="44"/>
      <c r="CM29" s="44"/>
      <c r="CN29" s="44"/>
      <c r="CO29" s="44"/>
      <c r="CP29" s="44"/>
      <c r="CQ29" s="44" t="str">
        <f>IF(AND(CL29="*",OR(CM30="*",CN30="*",CO30="*")), 1,"")</f>
        <v/>
      </c>
      <c r="CR29" s="44" t="str">
        <f>IF(AND(CL29="*",CP30="*"),1,"")</f>
        <v/>
      </c>
      <c r="CS29" s="44" t="str">
        <f>IF(AND(CP30="*", OR(CM29="*", CN29="*",CO29="*")),1,"")</f>
        <v/>
      </c>
      <c r="CT29" s="44" t="str">
        <f>IF(AND(CL30="*",OR(CM29="*",CN29="*",CO29="*",CP29="*")),1,IF(AND(CP29="*",OR(CL30="*",CM30="*",CN30="*",CO30="*")),1,""))</f>
        <v/>
      </c>
      <c r="CU29" s="44" t="str">
        <f>IF(AND(CM29="*",OR(CM30="*",CN30="*",CO30="*")),1,IF(AND(CN29="*",OR(CM30="*",CN30="*",CO30="*")),1,IF(AND(CO29="*",OR(CM30="*",CN30="*",CO30="*")),1,"")))</f>
        <v/>
      </c>
      <c r="CV29" s="44" t="str">
        <f>IF(AND(CL29="*",CL30="*"),1,"")</f>
        <v/>
      </c>
      <c r="CX29" s="44"/>
      <c r="CY29" s="44"/>
      <c r="CZ29" s="44"/>
      <c r="DA29" s="44"/>
      <c r="DB29" s="44"/>
      <c r="DC29" s="44" t="str">
        <f>IF(AND(CX29="*",OR(CY30="*",CZ30="*",DA30="*")), 1,"")</f>
        <v/>
      </c>
      <c r="DD29" s="44" t="str">
        <f>IF(AND(CX29="*",DB30="*"),1,"")</f>
        <v/>
      </c>
      <c r="DE29" s="44" t="str">
        <f>IF(AND(DB30="*", OR(CY29="*", CZ29="*",DA29="*")),1,"")</f>
        <v/>
      </c>
      <c r="DF29" s="44" t="str">
        <f>IF(AND(CX30="*",OR(CY29="*",CZ29="*",DA29="*",DB29="*")),1,IF(AND(DB29="*",OR(CX30="*",CY30="*",CZ30="*",DA30="*")),1,""))</f>
        <v/>
      </c>
      <c r="DG29" s="44" t="str">
        <f>IF(AND(CY29="*",OR(CY30="*",CZ30="*",DA30="*")),1,IF(AND(CZ29="*",OR(CY30="*",CZ30="*",DA30="*")),1,IF(AND(DA29="*",OR(CY30="*",CZ30="*",DA30="*")),1,"")))</f>
        <v/>
      </c>
      <c r="DH29" s="44" t="str">
        <f>IF(AND(CX29="*",CX30="*"),1,"")</f>
        <v/>
      </c>
      <c r="DJ29" s="44"/>
      <c r="DK29" s="44"/>
      <c r="DL29" s="44"/>
      <c r="DM29" s="44"/>
      <c r="DN29" s="44"/>
      <c r="DO29" s="44" t="str">
        <f>IF(AND(DJ29="*",OR(DK30="*",DL30="*",DM30="*")), 1,"")</f>
        <v/>
      </c>
      <c r="DP29" s="44" t="str">
        <f>IF(AND(DJ29="*",DN30="*"),1,"")</f>
        <v/>
      </c>
      <c r="DQ29" s="44" t="str">
        <f>IF(AND(DN30="*", OR(DK29="*", DL29="*",DM29="*")),1,"")</f>
        <v/>
      </c>
      <c r="DR29" s="44" t="str">
        <f>IF(AND(DJ30="*",OR(DK29="*",DL29="*",DM29="*",DN29="*")),1,IF(AND(DN29="*",OR(DJ30="*",DK30="*",DL30="*",DM30="*")),1,""))</f>
        <v/>
      </c>
      <c r="DS29" s="44" t="str">
        <f>IF(AND(DK29="*",OR(DK30="*",DL30="*",DM30="*")),1,IF(AND(DL29="*",OR(DK30="*",DL30="*",DM30="*")),1,IF(AND(DM29="*",OR(DK30="*",DL30="*",DM30="*")),1,"")))</f>
        <v/>
      </c>
      <c r="DT29" s="44" t="str">
        <f>IF(AND(DJ29="*",DJ30="*"),1,"")</f>
        <v/>
      </c>
      <c r="DV29" s="44"/>
      <c r="DW29" s="44"/>
      <c r="DX29" s="44"/>
      <c r="DY29" s="44"/>
      <c r="DZ29" s="44"/>
      <c r="EA29" s="44" t="str">
        <f>IF(AND(DV29="*",OR(DW30="*",DX30="*",DY30="*")), 1,"")</f>
        <v/>
      </c>
      <c r="EB29" s="44" t="str">
        <f>IF(AND(DV29="*",DZ30="*"),1,"")</f>
        <v/>
      </c>
      <c r="EC29" s="44" t="str">
        <f>IF(AND(DZ30="*", OR(DW29="*", DX29="*",DY29="*")),1,"")</f>
        <v/>
      </c>
      <c r="ED29" s="44" t="str">
        <f>IF(AND(DV30="*",OR(DW29="*",DX29="*",DY29="*",DZ29="*")),1,IF(AND(DZ29="*",OR(DV30="*",DW30="*",DX30="*",DY30="*")),1,""))</f>
        <v/>
      </c>
      <c r="EE29" s="44" t="str">
        <f>IF(AND(DW29="*",OR(DW30="*",DX30="*",DY30="*")),1,IF(AND(DX29="*",OR(DW30="*",DX30="*",DY30="*")),1,IF(AND(DY29="*",OR(DW30="*",DX30="*",DY30="*")),1,"")))</f>
        <v/>
      </c>
      <c r="EF29" s="44" t="str">
        <f>IF(AND(DV29="*",DV30="*"),1,"")</f>
        <v/>
      </c>
      <c r="EH29" s="44"/>
      <c r="EI29" s="44"/>
      <c r="EJ29" s="44"/>
      <c r="EK29" s="44"/>
      <c r="EL29" s="44"/>
      <c r="EM29" s="44" t="str">
        <f>IF(AND(EH29="*",OR(EI30="*",EJ30="*",EK30="*")), 1,"")</f>
        <v/>
      </c>
      <c r="EN29" s="44" t="str">
        <f>IF(AND(EH29="*",EL30="*"),1,"")</f>
        <v/>
      </c>
      <c r="EO29" s="44" t="str">
        <f>IF(AND(EL30="*", OR(EI29="*", EJ29="*",EK29="*")),1,"")</f>
        <v/>
      </c>
      <c r="EP29" s="44" t="str">
        <f>IF(AND(EH30="*",OR(EI29="*",EJ29="*",EK29="*",EL29="*")),1,IF(AND(EL29="*",OR(EH30="*",EI30="*",EJ30="*",EK30="*")),1,""))</f>
        <v/>
      </c>
      <c r="EQ29" s="44" t="str">
        <f>IF(AND(EI29="*",OR(EI30="*",EJ30="*",EK30="*")),1,IF(AND(EJ29="*",OR(EI30="*",EJ30="*",EK30="*")),1,IF(AND(EK29="*",OR(EI30="*",EJ30="*",EK30="*")),1,"")))</f>
        <v/>
      </c>
      <c r="ER29" s="44" t="str">
        <f>IF(AND(EH29="*",EH30="*"),1,"")</f>
        <v/>
      </c>
      <c r="ET29" s="44"/>
      <c r="EU29" s="44"/>
      <c r="EV29" s="44"/>
      <c r="EW29" s="44"/>
      <c r="EX29" s="44"/>
      <c r="EY29" s="44" t="str">
        <f>IF(AND(ET29="*",OR(EU30="*",EV30="*",EW30="*")), 1,"")</f>
        <v/>
      </c>
      <c r="EZ29" s="44" t="str">
        <f>IF(AND(ET29="*",EX30="*"),1,"")</f>
        <v/>
      </c>
      <c r="FA29" s="44" t="str">
        <f>IF(AND(EX30="*", OR(EU29="*", EV29="*",EW29="*")),1,"")</f>
        <v/>
      </c>
      <c r="FB29" s="44" t="str">
        <f>IF(AND(ET30="*",OR(EU29="*",EV29="*",EW29="*",EX29="*")),1,IF(AND(EX29="*",OR(ET30="*",EU30="*",EV30="*",EW30="*")),1,""))</f>
        <v/>
      </c>
      <c r="FC29" s="44" t="str">
        <f>IF(AND(EU29="*",OR(EU30="*",EV30="*",EW30="*")),1,IF(AND(EV29="*",OR(EU30="*",EV30="*",EW30="*")),1,IF(AND(EW29="*",OR(EU30="*",EV30="*",EW30="*")),1,"")))</f>
        <v/>
      </c>
      <c r="FD29" s="44" t="str">
        <f>IF(AND(ET29="*",ET30="*"),1,"")</f>
        <v/>
      </c>
      <c r="FF29" s="44"/>
      <c r="FG29" s="44"/>
      <c r="FH29" s="44"/>
      <c r="FI29" s="44"/>
      <c r="FJ29" s="44"/>
      <c r="FK29" s="44" t="str">
        <f>IF(AND(FF29="*",OR(FG30="*",FH30="*",FI30="*")), 1,"")</f>
        <v/>
      </c>
      <c r="FL29" s="44" t="str">
        <f>IF(AND(FF29="*",FJ30="*"),1,"")</f>
        <v/>
      </c>
      <c r="FM29" s="44" t="str">
        <f>IF(AND(FJ30="*", OR(FG29="*", FH29="*",FI29="*")),1,"")</f>
        <v/>
      </c>
      <c r="FN29" s="44" t="str">
        <f>IF(AND(FF30="*",OR(FG29="*",FH29="*",FI29="*",FJ29="*")),1,IF(AND(FJ29="*",OR(FF30="*",FG30="*",FH30="*",FI30="*")),1,""))</f>
        <v/>
      </c>
      <c r="FO29" s="44" t="str">
        <f>IF(AND(FG29="*",OR(FG30="*",FH30="*",FI30="*")),1,IF(AND(FH29="*",OR(FG30="*",FH30="*",FI30="*")),1,IF(AND(FI29="*",OR(FG30="*",FH30="*",FI30="*")),1,"")))</f>
        <v/>
      </c>
      <c r="FP29" s="44" t="str">
        <f>IF(AND(FF29="*",FF30="*"),1,"")</f>
        <v/>
      </c>
      <c r="FR29" s="44"/>
      <c r="FS29" s="44"/>
      <c r="FT29" s="44"/>
      <c r="FU29" s="44"/>
      <c r="FV29" s="44"/>
      <c r="FW29" s="44" t="str">
        <f>IF(AND(FR29="*",OR(FS30="*",FT30="*",FU30="*")), 1,"")</f>
        <v/>
      </c>
      <c r="FX29" s="44" t="str">
        <f>IF(AND(FR29="*",FV30="*"),1,"")</f>
        <v/>
      </c>
      <c r="FY29" s="44" t="str">
        <f>IF(AND(FV30="*", OR(FS29="*", FT29="*",FU29="*")),1,"")</f>
        <v/>
      </c>
      <c r="FZ29" s="44" t="str">
        <f>IF(AND(FR30="*",OR(FS29="*",FT29="*",FU29="*",FV29="*")),1,IF(AND(FV29="*",OR(FR30="*",FS30="*",FT30="*",FU30="*")),1,""))</f>
        <v/>
      </c>
      <c r="GA29" s="44" t="str">
        <f>IF(AND(FS29="*",OR(FS30="*",FT30="*",FU30="*")),1,IF(AND(FT29="*",OR(FS30="*",FT30="*",FU30="*")),1,IF(AND(FU29="*",OR(FS30="*",FT30="*",FU30="*")),1,"")))</f>
        <v/>
      </c>
      <c r="GB29" s="44" t="str">
        <f>IF(AND(FR29="*",FR30="*"),1,"")</f>
        <v/>
      </c>
      <c r="GD29" s="44"/>
      <c r="GE29" s="44"/>
      <c r="GF29" s="44"/>
      <c r="GG29" s="44"/>
      <c r="GH29" s="44"/>
      <c r="GI29" s="44"/>
      <c r="GJ29" s="44" t="str">
        <f>IF(AND(GD29="*",OR(GE30="*",GF30="*",GG30="*")), 1,"")</f>
        <v/>
      </c>
      <c r="GK29" s="44" t="str">
        <f>IF(AND(GD29="*",GH30="*"),1,"")</f>
        <v/>
      </c>
      <c r="GL29" s="44" t="str">
        <f>IF(AND(GH30="*", OR(GE29="*", GF29="*",GG29="*")),1,"")</f>
        <v/>
      </c>
      <c r="GM29" s="44" t="str">
        <f>IF(AND(GD30="*",OR(GE29="*",GF29="*",GG29="*",GH29="*")),1,IF(AND(GH29="*",OR(GD30="*",GE30="*",GF30="*",GG30="*")),1,""))</f>
        <v/>
      </c>
      <c r="GN29" s="44" t="str">
        <f>IF(AND(GE29="*",OR(GE30="*",GF30="*",GG30="*")),1,IF(AND(GF29="*",OR(GE30="*",GF30="*",GG30="*")),1,IF(AND(GG29="*",OR(GE30="*",GF30="*",GG30="*")),1,"")))</f>
        <v/>
      </c>
      <c r="GO29" s="44" t="str">
        <f>IF(AND(GD29="*",GD30="*"),1,"")</f>
        <v/>
      </c>
      <c r="GQ29" s="44"/>
      <c r="GR29" s="44"/>
      <c r="GS29" s="44"/>
      <c r="GT29" s="44"/>
      <c r="GU29" s="44"/>
      <c r="GV29" s="44" t="str">
        <f>IF(AND(GQ29="*",OR(GR30="*",GS30="*",GT30="*")), 1,"")</f>
        <v/>
      </c>
      <c r="GW29" s="44" t="str">
        <f>IF(AND(GQ29="*",GU30="*"),1,"")</f>
        <v/>
      </c>
      <c r="GX29" s="44" t="str">
        <f>IF(AND(GU30="*", OR(GR29="*", GS29="*",GT29="*")),1,"")</f>
        <v/>
      </c>
      <c r="GY29" s="44" t="str">
        <f>IF(AND(GQ30="*",OR(GR29="*",GS29="*",GT29="*",GU29="*")),1,IF(AND(GU29="*",OR(GQ30="*",GR30="*",GS30="*",GT30="*")),1,""))</f>
        <v/>
      </c>
      <c r="GZ29" s="44" t="str">
        <f>IF(AND(GR29="*",OR(GR30="*",GS30="*",GT30="*")),1,IF(AND(GS29="*",OR(GR30="*",GS30="*",GT30="*")),1,IF(AND(GT29="*",OR(GR30="*",GS30="*",GT30="*")),1,"")))</f>
        <v/>
      </c>
      <c r="HA29" s="44" t="str">
        <f>IF(AND(GQ29="*",GQ30="*"),1,"")</f>
        <v/>
      </c>
      <c r="HC29" s="44"/>
      <c r="HD29" s="44"/>
      <c r="HE29" s="44"/>
      <c r="HF29" s="44"/>
      <c r="HG29" s="44"/>
      <c r="HH29" s="44" t="str">
        <f>IF(AND(HC29="*",OR(HD30="*",HE30="*",HF30="*")), 1,"")</f>
        <v/>
      </c>
      <c r="HI29" s="44" t="str">
        <f>IF(AND(HC29="*",HG30="*"),1,"")</f>
        <v/>
      </c>
      <c r="HJ29" s="44" t="str">
        <f>IF(AND(HG30="*", OR(HD29="*", HE29="*",HF29="*")),1,"")</f>
        <v/>
      </c>
      <c r="HK29" s="44" t="str">
        <f>IF(AND(HC30="*",OR(HD29="*",HE29="*",HF29="*",HG29="*")),1,IF(AND(HG29="*",OR(HC30="*",HD30="*",HE30="*",HF30="*")),1,""))</f>
        <v/>
      </c>
      <c r="HL29" s="44" t="str">
        <f>IF(AND(HD29="*",OR(HD30="*",HE30="*",HF30="*")),1,IF(AND(HE29="*",OR(HD30="*",HE30="*",HF30="*")),1,IF(AND(HF29="*",OR(HD30="*",HE30="*",HF30="*")),1,"")))</f>
        <v/>
      </c>
      <c r="HM29" s="44" t="str">
        <f>IF(AND(HC29="*",HC30="*"),1,"")</f>
        <v/>
      </c>
      <c r="HO29" s="44"/>
      <c r="HP29" s="44"/>
      <c r="HQ29" s="44"/>
      <c r="HR29" s="44"/>
      <c r="HS29" s="44"/>
      <c r="HT29" s="44" t="str">
        <f>IF(AND(HO29="*",OR(HP30="*",HQ30="*",HR30="*")), 1,"")</f>
        <v/>
      </c>
      <c r="HU29" s="44" t="str">
        <f>IF(AND(HO29="*",HS30="*"),1,"")</f>
        <v/>
      </c>
      <c r="HV29" s="44" t="str">
        <f>IF(AND(HS30="*", OR(HP29="*", HQ29="*",HR29="*")),1,"")</f>
        <v/>
      </c>
      <c r="HW29" s="44" t="str">
        <f>IF(AND(HO30="*",OR(HP29="*",HQ29="*",HR29="*",HS29="*")),1,IF(AND(HS29="*",OR(HO30="*",HP30="*",HQ30="*",HR30="*")),1,""))</f>
        <v/>
      </c>
      <c r="HX29" s="44" t="str">
        <f>IF(AND(HP29="*",OR(HP30="*",HQ30="*",HR30="*")),1,IF(AND(HQ29="*",OR(HP30="*",HQ30="*",HR30="*")),1,IF(AND(HR29="*",OR(HP30="*",HQ30="*",HR30="*")),1,"")))</f>
        <v/>
      </c>
      <c r="HY29" s="44" t="str">
        <f>IF(AND(HO29="*",HO30="*"),1,"")</f>
        <v/>
      </c>
      <c r="IA29" s="44"/>
      <c r="IB29" s="44"/>
      <c r="IC29" s="44"/>
      <c r="ID29" s="44"/>
      <c r="IE29" s="44"/>
      <c r="IF29" s="44" t="str">
        <f>IF(AND(IA29="*",OR(IB30="*",IC30="*",ID30="*")), 1,"")</f>
        <v/>
      </c>
      <c r="IG29" s="44" t="str">
        <f>IF(AND(IA29="*",IE30="*"),1,"")</f>
        <v/>
      </c>
      <c r="IH29" s="44" t="str">
        <f>IF(AND(IE30="*", OR(IB29="*", IC29="*",ID29="*")),1,"")</f>
        <v/>
      </c>
      <c r="II29" s="44" t="str">
        <f>IF(AND(IA30="*",OR(IB29="*",IC29="*",ID29="*",IE29="*")),1,IF(AND(IE29="*",OR(IA30="*",IB30="*",IC30="*",ID30="*")),1,""))</f>
        <v/>
      </c>
      <c r="IJ29" s="44" t="str">
        <f>IF(AND(IB29="*",OR(IB30="*",IC30="*",ID30="*")),1,IF(AND(IC29="*",OR(IB30="*",IC30="*",ID30="*")),1,IF(AND(ID29="*",OR(IB30="*",IC30="*",ID30="*")),1,"")))</f>
        <v/>
      </c>
      <c r="IK29" s="44" t="str">
        <f>IF(AND(IA29="*",IA30="*"),1,"")</f>
        <v/>
      </c>
      <c r="IL29" s="44">
        <f>COUNT(J29,V29,AH29,AT29,BF29,BS29,CE29,CQ29,DC29,DO29,EA29,EM29,EY29,FK29,FW29,GJ29,GV29,HH29,HT29,IF29)</f>
        <v>0</v>
      </c>
      <c r="IM29" s="44">
        <f t="shared" ref="IM29:IQ29" si="13">COUNT(K29,W29,AI29,AU29,BG29,BT29,CF29,CR29,DD29,DP29,EB29,EN29,EZ29,FL29,FX29,GK29,GW29,HI29,HU29,IG29)</f>
        <v>0</v>
      </c>
      <c r="IN29" s="44">
        <f t="shared" si="13"/>
        <v>0</v>
      </c>
      <c r="IO29" s="44">
        <f t="shared" si="13"/>
        <v>0</v>
      </c>
      <c r="IP29" s="44">
        <f t="shared" si="13"/>
        <v>0</v>
      </c>
      <c r="IQ29" s="44">
        <f t="shared" si="13"/>
        <v>0</v>
      </c>
    </row>
    <row r="30" spans="2:251" ht="15" customHeight="1" x14ac:dyDescent="0.4">
      <c r="B30" s="273"/>
      <c r="C30" s="275"/>
      <c r="D30" s="42" t="s">
        <v>61</v>
      </c>
      <c r="E30" s="44"/>
      <c r="F30" s="44"/>
      <c r="G30" s="44"/>
      <c r="H30" s="44"/>
      <c r="I30" s="44"/>
      <c r="J30" s="43"/>
      <c r="K30" s="43"/>
      <c r="L30" s="43"/>
      <c r="M30" s="43"/>
      <c r="N30" s="43"/>
      <c r="O30" s="43"/>
      <c r="Q30" s="44"/>
      <c r="R30" s="44"/>
      <c r="S30" s="44"/>
      <c r="T30" s="44"/>
      <c r="U30" s="44"/>
      <c r="V30" s="43"/>
      <c r="W30" s="43"/>
      <c r="X30" s="43"/>
      <c r="Y30" s="43"/>
      <c r="Z30" s="43"/>
      <c r="AA30" s="43"/>
      <c r="AC30" s="44"/>
      <c r="AD30" s="44"/>
      <c r="AE30" s="44"/>
      <c r="AF30" s="44"/>
      <c r="AG30" s="44"/>
      <c r="AH30" s="43"/>
      <c r="AI30" s="43"/>
      <c r="AJ30" s="43"/>
      <c r="AK30" s="43"/>
      <c r="AL30" s="43"/>
      <c r="AM30" s="43"/>
      <c r="AO30" s="44"/>
      <c r="AP30" s="44"/>
      <c r="AQ30" s="44"/>
      <c r="AR30" s="44"/>
      <c r="AS30" s="44"/>
      <c r="AT30" s="43"/>
      <c r="AU30" s="43"/>
      <c r="AV30" s="43"/>
      <c r="AW30" s="43"/>
      <c r="AX30" s="43"/>
      <c r="AY30" s="43"/>
      <c r="BA30" s="44"/>
      <c r="BB30" s="44"/>
      <c r="BC30" s="44"/>
      <c r="BD30" s="44"/>
      <c r="BE30" s="44"/>
      <c r="BF30" s="43"/>
      <c r="BG30" s="43"/>
      <c r="BH30" s="43"/>
      <c r="BI30" s="43"/>
      <c r="BJ30" s="43"/>
      <c r="BK30" s="43"/>
      <c r="BM30" s="44"/>
      <c r="BN30" s="44"/>
      <c r="BO30" s="44"/>
      <c r="BP30" s="44"/>
      <c r="BQ30" s="44"/>
      <c r="BR30" s="44"/>
      <c r="BS30" s="43"/>
      <c r="BT30" s="43"/>
      <c r="BU30" s="43"/>
      <c r="BV30" s="43"/>
      <c r="BW30" s="43"/>
      <c r="BX30" s="43"/>
      <c r="BZ30" s="44"/>
      <c r="CA30" s="44"/>
      <c r="CB30" s="44"/>
      <c r="CC30" s="44"/>
      <c r="CD30" s="44"/>
      <c r="CE30" s="43"/>
      <c r="CF30" s="43"/>
      <c r="CG30" s="43"/>
      <c r="CH30" s="43"/>
      <c r="CI30" s="43"/>
      <c r="CJ30" s="43"/>
      <c r="CL30" s="44"/>
      <c r="CM30" s="44"/>
      <c r="CN30" s="44"/>
      <c r="CO30" s="44"/>
      <c r="CP30" s="44"/>
      <c r="CQ30" s="43"/>
      <c r="CR30" s="43"/>
      <c r="CS30" s="43"/>
      <c r="CT30" s="43"/>
      <c r="CU30" s="43"/>
      <c r="CV30" s="43"/>
      <c r="CX30" s="44"/>
      <c r="CY30" s="44"/>
      <c r="CZ30" s="44"/>
      <c r="DA30" s="44"/>
      <c r="DB30" s="44"/>
      <c r="DC30" s="43"/>
      <c r="DD30" s="43"/>
      <c r="DE30" s="43"/>
      <c r="DF30" s="43"/>
      <c r="DG30" s="43"/>
      <c r="DH30" s="43"/>
      <c r="DJ30" s="44"/>
      <c r="DK30" s="44"/>
      <c r="DL30" s="44"/>
      <c r="DM30" s="44"/>
      <c r="DN30" s="44"/>
      <c r="DO30" s="43"/>
      <c r="DP30" s="43"/>
      <c r="DQ30" s="43"/>
      <c r="DR30" s="43"/>
      <c r="DS30" s="43"/>
      <c r="DT30" s="43"/>
      <c r="DV30" s="44"/>
      <c r="DW30" s="44"/>
      <c r="DX30" s="44"/>
      <c r="DY30" s="44"/>
      <c r="DZ30" s="44"/>
      <c r="EA30" s="43"/>
      <c r="EB30" s="43"/>
      <c r="EC30" s="43"/>
      <c r="ED30" s="43"/>
      <c r="EE30" s="43"/>
      <c r="EF30" s="43"/>
      <c r="EH30" s="44"/>
      <c r="EI30" s="44"/>
      <c r="EJ30" s="44"/>
      <c r="EK30" s="44"/>
      <c r="EL30" s="44"/>
      <c r="EM30" s="43"/>
      <c r="EN30" s="43"/>
      <c r="EO30" s="43"/>
      <c r="EP30" s="43"/>
      <c r="EQ30" s="43"/>
      <c r="ER30" s="43"/>
      <c r="ET30" s="44"/>
      <c r="EU30" s="44"/>
      <c r="EV30" s="44"/>
      <c r="EW30" s="44"/>
      <c r="EX30" s="44"/>
      <c r="EY30" s="43"/>
      <c r="EZ30" s="43"/>
      <c r="FA30" s="43"/>
      <c r="FB30" s="43"/>
      <c r="FC30" s="43"/>
      <c r="FD30" s="43"/>
      <c r="FF30" s="44"/>
      <c r="FG30" s="44"/>
      <c r="FH30" s="44"/>
      <c r="FI30" s="44"/>
      <c r="FJ30" s="44"/>
      <c r="FK30" s="43"/>
      <c r="FL30" s="43"/>
      <c r="FM30" s="43"/>
      <c r="FN30" s="43"/>
      <c r="FO30" s="43"/>
      <c r="FP30" s="43"/>
      <c r="FR30" s="44"/>
      <c r="FS30" s="44"/>
      <c r="FT30" s="44"/>
      <c r="FU30" s="44"/>
      <c r="FV30" s="44"/>
      <c r="FW30" s="43"/>
      <c r="FX30" s="43"/>
      <c r="FY30" s="43"/>
      <c r="FZ30" s="43"/>
      <c r="GA30" s="43"/>
      <c r="GB30" s="43"/>
      <c r="GD30" s="44"/>
      <c r="GE30" s="44"/>
      <c r="GF30" s="44"/>
      <c r="GG30" s="44"/>
      <c r="GH30" s="44"/>
      <c r="GI30" s="44"/>
      <c r="GJ30" s="43"/>
      <c r="GK30" s="43"/>
      <c r="GL30" s="43"/>
      <c r="GM30" s="43"/>
      <c r="GN30" s="43"/>
      <c r="GO30" s="43"/>
      <c r="GQ30" s="44"/>
      <c r="GR30" s="44"/>
      <c r="GS30" s="44"/>
      <c r="GT30" s="44"/>
      <c r="GU30" s="44"/>
      <c r="GV30" s="43"/>
      <c r="GW30" s="43"/>
      <c r="GX30" s="43"/>
      <c r="GY30" s="43"/>
      <c r="GZ30" s="43"/>
      <c r="HA30" s="43"/>
      <c r="HC30" s="44"/>
      <c r="HD30" s="44"/>
      <c r="HE30" s="44"/>
      <c r="HF30" s="44"/>
      <c r="HG30" s="44"/>
      <c r="HH30" s="43"/>
      <c r="HI30" s="43"/>
      <c r="HJ30" s="43"/>
      <c r="HK30" s="43"/>
      <c r="HL30" s="43"/>
      <c r="HM30" s="43"/>
      <c r="HO30" s="44"/>
      <c r="HP30" s="44"/>
      <c r="HQ30" s="44"/>
      <c r="HR30" s="44"/>
      <c r="HS30" s="44"/>
      <c r="HT30" s="43"/>
      <c r="HU30" s="43"/>
      <c r="HV30" s="43"/>
      <c r="HW30" s="43"/>
      <c r="HX30" s="43"/>
      <c r="HY30" s="43"/>
      <c r="IA30" s="44"/>
      <c r="IB30" s="44"/>
      <c r="IC30" s="44"/>
      <c r="ID30" s="44"/>
      <c r="IE30" s="44"/>
      <c r="IF30" s="43"/>
      <c r="IG30" s="43"/>
      <c r="IH30" s="43"/>
      <c r="II30" s="43"/>
      <c r="IJ30" s="43"/>
      <c r="IK30" s="43"/>
    </row>
    <row r="31" spans="2:251" ht="15" customHeight="1" x14ac:dyDescent="0.4">
      <c r="B31" s="276">
        <v>15</v>
      </c>
      <c r="C31" s="278">
        <f>고객요구사항도출표!C19</f>
        <v>0</v>
      </c>
      <c r="D31" s="40" t="s">
        <v>53</v>
      </c>
      <c r="E31" s="41"/>
      <c r="F31" s="41"/>
      <c r="G31" s="41"/>
      <c r="H31" s="41"/>
      <c r="I31" s="41"/>
      <c r="J31" s="41" t="str">
        <f>IF(AND(E31="*",OR(F32="*",G32="*",H32="*")), 1,"")</f>
        <v/>
      </c>
      <c r="K31" s="41" t="str">
        <f>IF(AND(E31="*",I32="*"),1,"")</f>
        <v/>
      </c>
      <c r="L31" s="41" t="str">
        <f>IF(AND(I32="*", OR(F31="*", G31="*",H31="*")),1,"")</f>
        <v/>
      </c>
      <c r="M31" s="41" t="str">
        <f>IF(AND(E32="*",OR(F31="*",G31="*",H31="*",I31="*")),1,IF(AND(I31="*",OR(E32="*",F32="*",G32="*",H32="*")),1,""))</f>
        <v/>
      </c>
      <c r="N31" s="41" t="str">
        <f>IF(AND(F31="*",OR(F32="*",G32="*",H32="*")),1,IF(AND(G31="*",OR(F32="*",G32="*",H32="*")),1,IF(AND(H31="*",OR(F32="*",G32="*",H32="*")),1,"")))</f>
        <v/>
      </c>
      <c r="O31" s="41" t="str">
        <f>IF(AND(E31="*",E32="*"),1,"")</f>
        <v/>
      </c>
      <c r="Q31" s="41"/>
      <c r="R31" s="41"/>
      <c r="S31" s="41"/>
      <c r="T31" s="41"/>
      <c r="U31" s="41"/>
      <c r="V31" s="41" t="str">
        <f>IF(AND(Q31="*",OR(R32="*",S32="*",T32="*")), 1,"")</f>
        <v/>
      </c>
      <c r="W31" s="41" t="str">
        <f>IF(AND(Q31="*",U32="*"),1,"")</f>
        <v/>
      </c>
      <c r="X31" s="41" t="str">
        <f>IF(AND(U32="*", OR(R31="*", S31="*",T31="*")),1,"")</f>
        <v/>
      </c>
      <c r="Y31" s="41" t="str">
        <f>IF(AND(Q32="*",OR(R31="*",S31="*",T31="*",U31="*")),1,IF(AND(U31="*",OR(Q32="*",R32="*",S32="*",T32="*")),1,""))</f>
        <v/>
      </c>
      <c r="Z31" s="41" t="str">
        <f>IF(AND(R31="*",OR(R32="*",S32="*",T32="*")),1,IF(AND(S31="*",OR(R32="*",S32="*",T32="*")),1,IF(AND(T31="*",OR(R32="*",S32="*",T32="*")),1,"")))</f>
        <v/>
      </c>
      <c r="AA31" s="41" t="str">
        <f>IF(AND(Q31="*",Q32="*"),1,"")</f>
        <v/>
      </c>
      <c r="AC31" s="41"/>
      <c r="AD31" s="41"/>
      <c r="AE31" s="41"/>
      <c r="AF31" s="41"/>
      <c r="AG31" s="41"/>
      <c r="AH31" s="41" t="str">
        <f>IF(AND(AC31="*",OR(AD32="*",AE32="*",AF32="*")), 1,"")</f>
        <v/>
      </c>
      <c r="AI31" s="41" t="str">
        <f>IF(AND(AC31="*",AG32="*"),1,"")</f>
        <v/>
      </c>
      <c r="AJ31" s="41" t="str">
        <f>IF(AND(AG32="*", OR(AD31="*", AE31="*",AF31="*")),1,"")</f>
        <v/>
      </c>
      <c r="AK31" s="41" t="str">
        <f>IF(AND(AC32="*",OR(AD31="*",AE31="*",AF31="*",AG31="*")),1,IF(AND(AG31="*",OR(AC32="*",AD32="*",AE32="*",AF32="*")),1,""))</f>
        <v/>
      </c>
      <c r="AL31" s="41" t="str">
        <f>IF(AND(AD31="*",OR(AD32="*",AE32="*",AF32="*")),1,IF(AND(AE31="*",OR(AD32="*",AE32="*",AF32="*")),1,IF(AND(AF31="*",OR(AD32="*",AE32="*",AF32="*")),1,"")))</f>
        <v/>
      </c>
      <c r="AM31" s="41" t="str">
        <f>IF(AND(AC31="*",AC32="*"),1,"")</f>
        <v/>
      </c>
      <c r="AO31" s="41"/>
      <c r="AP31" s="41"/>
      <c r="AQ31" s="41"/>
      <c r="AR31" s="41"/>
      <c r="AS31" s="41"/>
      <c r="AT31" s="41" t="str">
        <f>IF(AND(AO31="*",OR(AP32="*",AQ32="*",AR32="*")), 1,"")</f>
        <v/>
      </c>
      <c r="AU31" s="41" t="str">
        <f>IF(AND(AO31="*",AS32="*"),1,"")</f>
        <v/>
      </c>
      <c r="AV31" s="41" t="str">
        <f>IF(AND(AS32="*", OR(AP31="*", AQ31="*",AR31="*")),1,"")</f>
        <v/>
      </c>
      <c r="AW31" s="41" t="str">
        <f>IF(AND(AO32="*",OR(AP31="*",AQ31="*",AR31="*",AS31="*")),1,IF(AND(AS31="*",OR(AO32="*",AP32="*",AQ32="*",AR32="*")),1,""))</f>
        <v/>
      </c>
      <c r="AX31" s="41" t="str">
        <f>IF(AND(AP31="*",OR(AP32="*",AQ32="*",AR32="*")),1,IF(AND(AQ31="*",OR(AP32="*",AQ32="*",AR32="*")),1,IF(AND(AR31="*",OR(AP32="*",AQ32="*",AR32="*")),1,"")))</f>
        <v/>
      </c>
      <c r="AY31" s="41" t="str">
        <f>IF(AND(AO31="*",AO32="*"),1,"")</f>
        <v/>
      </c>
      <c r="BA31" s="41"/>
      <c r="BB31" s="41"/>
      <c r="BC31" s="41"/>
      <c r="BD31" s="41"/>
      <c r="BE31" s="41"/>
      <c r="BF31" s="41" t="str">
        <f>IF(AND(BA31="*",OR(BB32="*",BC32="*",BD32="*")), 1,"")</f>
        <v/>
      </c>
      <c r="BG31" s="41" t="str">
        <f>IF(AND(BA31="*",BE32="*"),1,"")</f>
        <v/>
      </c>
      <c r="BH31" s="41" t="str">
        <f>IF(AND(BE32="*", OR(BB31="*", BC31="*",BD31="*")),1,"")</f>
        <v/>
      </c>
      <c r="BI31" s="41" t="str">
        <f>IF(AND(BA32="*",OR(BB31="*",BC31="*",BD31="*",BE31="*")),1,IF(AND(BE31="*",OR(BA32="*",BB32="*",BC32="*",BD32="*")),1,""))</f>
        <v/>
      </c>
      <c r="BJ31" s="41" t="str">
        <f>IF(AND(BB31="*",OR(BB32="*",BC32="*",BD32="*")),1,IF(AND(BC31="*",OR(BB32="*",BC32="*",BD32="*")),1,IF(AND(BD31="*",OR(BB32="*",BC32="*",BD32="*")),1,"")))</f>
        <v/>
      </c>
      <c r="BK31" s="41" t="str">
        <f>IF(AND(BA31="*",BA32="*"),1,"")</f>
        <v/>
      </c>
      <c r="BM31" s="41"/>
      <c r="BN31" s="41"/>
      <c r="BO31" s="41"/>
      <c r="BP31" s="41"/>
      <c r="BQ31" s="41"/>
      <c r="BR31" s="41"/>
      <c r="BS31" s="41" t="str">
        <f>IF(AND(BM31="*",OR(BN32="*",BO32="*",BP32="*")), 1,"")</f>
        <v/>
      </c>
      <c r="BT31" s="41" t="str">
        <f>IF(AND(BM31="*",BQ32="*"),1,"")</f>
        <v/>
      </c>
      <c r="BU31" s="41" t="str">
        <f>IF(AND(BQ32="*", OR(BN31="*", BO31="*",BP31="*")),1,"")</f>
        <v/>
      </c>
      <c r="BV31" s="41" t="str">
        <f>IF(AND(BM32="*",OR(BN31="*",BO31="*",BP31="*",BQ31="*")),1,IF(AND(BQ31="*",OR(BM32="*",BN32="*",BO32="*",BP32="*")),1,""))</f>
        <v/>
      </c>
      <c r="BW31" s="41" t="str">
        <f>IF(AND(BN31="*",OR(BN32="*",BO32="*",BP32="*")),1,IF(AND(BO31="*",OR(BN32="*",BO32="*",BP32="*")),1,IF(AND(BP31="*",OR(BN32="*",BO32="*",BP32="*")),1,"")))</f>
        <v/>
      </c>
      <c r="BX31" s="41" t="str">
        <f>IF(AND(BM31="*",BM32="*"),1,"")</f>
        <v/>
      </c>
      <c r="BZ31" s="41"/>
      <c r="CA31" s="41"/>
      <c r="CB31" s="41"/>
      <c r="CC31" s="41"/>
      <c r="CD31" s="41"/>
      <c r="CE31" s="41" t="str">
        <f>IF(AND(BZ31="*",OR(CA32="*",CB32="*",CC32="*")), 1,"")</f>
        <v/>
      </c>
      <c r="CF31" s="41" t="str">
        <f>IF(AND(BZ31="*",CD32="*"),1,"")</f>
        <v/>
      </c>
      <c r="CG31" s="41" t="str">
        <f>IF(AND(CD32="*", OR(CA31="*", CB31="*",CC31="*")),1,"")</f>
        <v/>
      </c>
      <c r="CH31" s="41" t="str">
        <f>IF(AND(BZ32="*",OR(CA31="*",CB31="*",CC31="*",CD31="*")),1,IF(AND(CD31="*",OR(BZ32="*",CA32="*",CB32="*",CC32="*")),1,""))</f>
        <v/>
      </c>
      <c r="CI31" s="41" t="str">
        <f>IF(AND(CA31="*",OR(CA32="*",CB32="*",CC32="*")),1,IF(AND(CB31="*",OR(CA32="*",CB32="*",CC32="*")),1,IF(AND(CC31="*",OR(CA32="*",CB32="*",CC32="*")),1,"")))</f>
        <v/>
      </c>
      <c r="CJ31" s="41" t="str">
        <f>IF(AND(BZ31="*",BZ32="*"),1,"")</f>
        <v/>
      </c>
      <c r="CL31" s="41"/>
      <c r="CM31" s="41"/>
      <c r="CN31" s="41"/>
      <c r="CO31" s="41"/>
      <c r="CP31" s="41"/>
      <c r="CQ31" s="41" t="str">
        <f>IF(AND(CL31="*",OR(CM32="*",CN32="*",CO32="*")), 1,"")</f>
        <v/>
      </c>
      <c r="CR31" s="41" t="str">
        <f>IF(AND(CL31="*",CP32="*"),1,"")</f>
        <v/>
      </c>
      <c r="CS31" s="41" t="str">
        <f>IF(AND(CP32="*", OR(CM31="*", CN31="*",CO31="*")),1,"")</f>
        <v/>
      </c>
      <c r="CT31" s="41" t="str">
        <f>IF(AND(CL32="*",OR(CM31="*",CN31="*",CO31="*",CP31="*")),1,IF(AND(CP31="*",OR(CL32="*",CM32="*",CN32="*",CO32="*")),1,""))</f>
        <v/>
      </c>
      <c r="CU31" s="41" t="str">
        <f>IF(AND(CM31="*",OR(CM32="*",CN32="*",CO32="*")),1,IF(AND(CN31="*",OR(CM32="*",CN32="*",CO32="*")),1,IF(AND(CO31="*",OR(CM32="*",CN32="*",CO32="*")),1,"")))</f>
        <v/>
      </c>
      <c r="CV31" s="41" t="str">
        <f>IF(AND(CL31="*",CL32="*"),1,"")</f>
        <v/>
      </c>
      <c r="CX31" s="41"/>
      <c r="CY31" s="41"/>
      <c r="CZ31" s="41"/>
      <c r="DA31" s="41"/>
      <c r="DB31" s="41"/>
      <c r="DC31" s="41" t="str">
        <f>IF(AND(CX31="*",OR(CY32="*",CZ32="*",DA32="*")), 1,"")</f>
        <v/>
      </c>
      <c r="DD31" s="41" t="str">
        <f>IF(AND(CX31="*",DB32="*"),1,"")</f>
        <v/>
      </c>
      <c r="DE31" s="41" t="str">
        <f>IF(AND(DB32="*", OR(CY31="*", CZ31="*",DA31="*")),1,"")</f>
        <v/>
      </c>
      <c r="DF31" s="41" t="str">
        <f>IF(AND(CX32="*",OR(CY31="*",CZ31="*",DA31="*",DB31="*")),1,IF(AND(DB31="*",OR(CX32="*",CY32="*",CZ32="*",DA32="*")),1,""))</f>
        <v/>
      </c>
      <c r="DG31" s="41" t="str">
        <f>IF(AND(CY31="*",OR(CY32="*",CZ32="*",DA32="*")),1,IF(AND(CZ31="*",OR(CY32="*",CZ32="*",DA32="*")),1,IF(AND(DA31="*",OR(CY32="*",CZ32="*",DA32="*")),1,"")))</f>
        <v/>
      </c>
      <c r="DH31" s="41" t="str">
        <f>IF(AND(CX31="*",CX32="*"),1,"")</f>
        <v/>
      </c>
      <c r="DJ31" s="41"/>
      <c r="DK31" s="41"/>
      <c r="DL31" s="41"/>
      <c r="DM31" s="41"/>
      <c r="DN31" s="41"/>
      <c r="DO31" s="41" t="str">
        <f>IF(AND(DJ31="*",OR(DK32="*",DL32="*",DM32="*")), 1,"")</f>
        <v/>
      </c>
      <c r="DP31" s="41" t="str">
        <f>IF(AND(DJ31="*",DN32="*"),1,"")</f>
        <v/>
      </c>
      <c r="DQ31" s="41" t="str">
        <f>IF(AND(DN32="*", OR(DK31="*", DL31="*",DM31="*")),1,"")</f>
        <v/>
      </c>
      <c r="DR31" s="41" t="str">
        <f>IF(AND(DJ32="*",OR(DK31="*",DL31="*",DM31="*",DN31="*")),1,IF(AND(DN31="*",OR(DJ32="*",DK32="*",DL32="*",DM32="*")),1,""))</f>
        <v/>
      </c>
      <c r="DS31" s="41" t="str">
        <f>IF(AND(DK31="*",OR(DK32="*",DL32="*",DM32="*")),1,IF(AND(DL31="*",OR(DK32="*",DL32="*",DM32="*")),1,IF(AND(DM31="*",OR(DK32="*",DL32="*",DM32="*")),1,"")))</f>
        <v/>
      </c>
      <c r="DT31" s="41" t="str">
        <f>IF(AND(DJ31="*",DJ32="*"),1,"")</f>
        <v/>
      </c>
      <c r="DV31" s="41"/>
      <c r="DW31" s="41"/>
      <c r="DX31" s="41"/>
      <c r="DY31" s="41"/>
      <c r="DZ31" s="41"/>
      <c r="EA31" s="41" t="str">
        <f>IF(AND(DV31="*",OR(DW32="*",DX32="*",DY32="*")), 1,"")</f>
        <v/>
      </c>
      <c r="EB31" s="41" t="str">
        <f>IF(AND(DV31="*",DZ32="*"),1,"")</f>
        <v/>
      </c>
      <c r="EC31" s="41" t="str">
        <f>IF(AND(DZ32="*", OR(DW31="*", DX31="*",DY31="*")),1,"")</f>
        <v/>
      </c>
      <c r="ED31" s="41" t="str">
        <f>IF(AND(DV32="*",OR(DW31="*",DX31="*",DY31="*",DZ31="*")),1,IF(AND(DZ31="*",OR(DV32="*",DW32="*",DX32="*",DY32="*")),1,""))</f>
        <v/>
      </c>
      <c r="EE31" s="41" t="str">
        <f>IF(AND(DW31="*",OR(DW32="*",DX32="*",DY32="*")),1,IF(AND(DX31="*",OR(DW32="*",DX32="*",DY32="*")),1,IF(AND(DY31="*",OR(DW32="*",DX32="*",DY32="*")),1,"")))</f>
        <v/>
      </c>
      <c r="EF31" s="41" t="str">
        <f>IF(AND(DV31="*",DV32="*"),1,"")</f>
        <v/>
      </c>
      <c r="EH31" s="41"/>
      <c r="EI31" s="41"/>
      <c r="EJ31" s="41"/>
      <c r="EK31" s="41"/>
      <c r="EL31" s="41"/>
      <c r="EM31" s="41" t="str">
        <f>IF(AND(EH31="*",OR(EI32="*",EJ32="*",EK32="*")), 1,"")</f>
        <v/>
      </c>
      <c r="EN31" s="41" t="str">
        <f>IF(AND(EH31="*",EL32="*"),1,"")</f>
        <v/>
      </c>
      <c r="EO31" s="41" t="str">
        <f>IF(AND(EL32="*", OR(EI31="*", EJ31="*",EK31="*")),1,"")</f>
        <v/>
      </c>
      <c r="EP31" s="41" t="str">
        <f>IF(AND(EH32="*",OR(EI31="*",EJ31="*",EK31="*",EL31="*")),1,IF(AND(EL31="*",OR(EH32="*",EI32="*",EJ32="*",EK32="*")),1,""))</f>
        <v/>
      </c>
      <c r="EQ31" s="41" t="str">
        <f>IF(AND(EI31="*",OR(EI32="*",EJ32="*",EK32="*")),1,IF(AND(EJ31="*",OR(EI32="*",EJ32="*",EK32="*")),1,IF(AND(EK31="*",OR(EI32="*",EJ32="*",EK32="*")),1,"")))</f>
        <v/>
      </c>
      <c r="ER31" s="41" t="str">
        <f>IF(AND(EH31="*",EH32="*"),1,"")</f>
        <v/>
      </c>
      <c r="ET31" s="41"/>
      <c r="EU31" s="41"/>
      <c r="EV31" s="41"/>
      <c r="EW31" s="41"/>
      <c r="EX31" s="41"/>
      <c r="EY31" s="41" t="str">
        <f>IF(AND(ET31="*",OR(EU32="*",EV32="*",EW32="*")), 1,"")</f>
        <v/>
      </c>
      <c r="EZ31" s="41" t="str">
        <f>IF(AND(ET31="*",EX32="*"),1,"")</f>
        <v/>
      </c>
      <c r="FA31" s="41" t="str">
        <f>IF(AND(EX32="*", OR(EU31="*", EV31="*",EW31="*")),1,"")</f>
        <v/>
      </c>
      <c r="FB31" s="41" t="str">
        <f>IF(AND(ET32="*",OR(EU31="*",EV31="*",EW31="*",EX31="*")),1,IF(AND(EX31="*",OR(ET32="*",EU32="*",EV32="*",EW32="*")),1,""))</f>
        <v/>
      </c>
      <c r="FC31" s="41" t="str">
        <f>IF(AND(EU31="*",OR(EU32="*",EV32="*",EW32="*")),1,IF(AND(EV31="*",OR(EU32="*",EV32="*",EW32="*")),1,IF(AND(EW31="*",OR(EU32="*",EV32="*",EW32="*")),1,"")))</f>
        <v/>
      </c>
      <c r="FD31" s="41" t="str">
        <f>IF(AND(ET31="*",ET32="*"),1,"")</f>
        <v/>
      </c>
      <c r="FF31" s="41"/>
      <c r="FG31" s="41"/>
      <c r="FH31" s="41"/>
      <c r="FI31" s="41"/>
      <c r="FJ31" s="41"/>
      <c r="FK31" s="41" t="str">
        <f>IF(AND(FF31="*",OR(FG32="*",FH32="*",FI32="*")), 1,"")</f>
        <v/>
      </c>
      <c r="FL31" s="41" t="str">
        <f>IF(AND(FF31="*",FJ32="*"),1,"")</f>
        <v/>
      </c>
      <c r="FM31" s="41" t="str">
        <f>IF(AND(FJ32="*", OR(FG31="*", FH31="*",FI31="*")),1,"")</f>
        <v/>
      </c>
      <c r="FN31" s="41" t="str">
        <f>IF(AND(FF32="*",OR(FG31="*",FH31="*",FI31="*",FJ31="*")),1,IF(AND(FJ31="*",OR(FF32="*",FG32="*",FH32="*",FI32="*")),1,""))</f>
        <v/>
      </c>
      <c r="FO31" s="41" t="str">
        <f>IF(AND(FG31="*",OR(FG32="*",FH32="*",FI32="*")),1,IF(AND(FH31="*",OR(FG32="*",FH32="*",FI32="*")),1,IF(AND(FI31="*",OR(FG32="*",FH32="*",FI32="*")),1,"")))</f>
        <v/>
      </c>
      <c r="FP31" s="41" t="str">
        <f>IF(AND(FF31="*",FF32="*"),1,"")</f>
        <v/>
      </c>
      <c r="FR31" s="41"/>
      <c r="FS31" s="41"/>
      <c r="FT31" s="41"/>
      <c r="FU31" s="41"/>
      <c r="FV31" s="41"/>
      <c r="FW31" s="41" t="str">
        <f>IF(AND(FR31="*",OR(FS32="*",FT32="*",FU32="*")), 1,"")</f>
        <v/>
      </c>
      <c r="FX31" s="41" t="str">
        <f>IF(AND(FR31="*",FV32="*"),1,"")</f>
        <v/>
      </c>
      <c r="FY31" s="41" t="str">
        <f>IF(AND(FV32="*", OR(FS31="*", FT31="*",FU31="*")),1,"")</f>
        <v/>
      </c>
      <c r="FZ31" s="41" t="str">
        <f>IF(AND(FR32="*",OR(FS31="*",FT31="*",FU31="*",FV31="*")),1,IF(AND(FV31="*",OR(FR32="*",FS32="*",FT32="*",FU32="*")),1,""))</f>
        <v/>
      </c>
      <c r="GA31" s="41" t="str">
        <f>IF(AND(FS31="*",OR(FS32="*",FT32="*",FU32="*")),1,IF(AND(FT31="*",OR(FS32="*",FT32="*",FU32="*")),1,IF(AND(FU31="*",OR(FS32="*",FT32="*",FU32="*")),1,"")))</f>
        <v/>
      </c>
      <c r="GB31" s="41" t="str">
        <f>IF(AND(FR31="*",FR32="*"),1,"")</f>
        <v/>
      </c>
      <c r="GD31" s="41"/>
      <c r="GE31" s="41"/>
      <c r="GF31" s="41"/>
      <c r="GG31" s="41"/>
      <c r="GH31" s="41"/>
      <c r="GI31" s="41"/>
      <c r="GJ31" s="41" t="str">
        <f>IF(AND(GD31="*",OR(GE32="*",GF32="*",GG32="*")), 1,"")</f>
        <v/>
      </c>
      <c r="GK31" s="41" t="str">
        <f>IF(AND(GD31="*",GH32="*"),1,"")</f>
        <v/>
      </c>
      <c r="GL31" s="41" t="str">
        <f>IF(AND(GH32="*", OR(GE31="*", GF31="*",GG31="*")),1,"")</f>
        <v/>
      </c>
      <c r="GM31" s="41" t="str">
        <f>IF(AND(GD32="*",OR(GE31="*",GF31="*",GG31="*",GH31="*")),1,IF(AND(GH31="*",OR(GD32="*",GE32="*",GF32="*",GG32="*")),1,""))</f>
        <v/>
      </c>
      <c r="GN31" s="41" t="str">
        <f>IF(AND(GE31="*",OR(GE32="*",GF32="*",GG32="*")),1,IF(AND(GF31="*",OR(GE32="*",GF32="*",GG32="*")),1,IF(AND(GG31="*",OR(GE32="*",GF32="*",GG32="*")),1,"")))</f>
        <v/>
      </c>
      <c r="GO31" s="41" t="str">
        <f>IF(AND(GD31="*",GD32="*"),1,"")</f>
        <v/>
      </c>
      <c r="GQ31" s="41"/>
      <c r="GR31" s="41"/>
      <c r="GS31" s="41"/>
      <c r="GT31" s="41"/>
      <c r="GU31" s="41"/>
      <c r="GV31" s="41" t="str">
        <f>IF(AND(GQ31="*",OR(GR32="*",GS32="*",GT32="*")), 1,"")</f>
        <v/>
      </c>
      <c r="GW31" s="41" t="str">
        <f>IF(AND(GQ31="*",GU32="*"),1,"")</f>
        <v/>
      </c>
      <c r="GX31" s="41" t="str">
        <f>IF(AND(GU32="*", OR(GR31="*", GS31="*",GT31="*")),1,"")</f>
        <v/>
      </c>
      <c r="GY31" s="41" t="str">
        <f>IF(AND(GQ32="*",OR(GR31="*",GS31="*",GT31="*",GU31="*")),1,IF(AND(GU31="*",OR(GQ32="*",GR32="*",GS32="*",GT32="*")),1,""))</f>
        <v/>
      </c>
      <c r="GZ31" s="41" t="str">
        <f>IF(AND(GR31="*",OR(GR32="*",GS32="*",GT32="*")),1,IF(AND(GS31="*",OR(GR32="*",GS32="*",GT32="*")),1,IF(AND(GT31="*",OR(GR32="*",GS32="*",GT32="*")),1,"")))</f>
        <v/>
      </c>
      <c r="HA31" s="41" t="str">
        <f>IF(AND(GQ31="*",GQ32="*"),1,"")</f>
        <v/>
      </c>
      <c r="HC31" s="41"/>
      <c r="HD31" s="41"/>
      <c r="HE31" s="41"/>
      <c r="HF31" s="41"/>
      <c r="HG31" s="41"/>
      <c r="HH31" s="41" t="str">
        <f>IF(AND(HC31="*",OR(HD32="*",HE32="*",HF32="*")), 1,"")</f>
        <v/>
      </c>
      <c r="HI31" s="41" t="str">
        <f>IF(AND(HC31="*",HG32="*"),1,"")</f>
        <v/>
      </c>
      <c r="HJ31" s="41" t="str">
        <f>IF(AND(HG32="*", OR(HD31="*", HE31="*",HF31="*")),1,"")</f>
        <v/>
      </c>
      <c r="HK31" s="41" t="str">
        <f>IF(AND(HC32="*",OR(HD31="*",HE31="*",HF31="*",HG31="*")),1,IF(AND(HG31="*",OR(HC32="*",HD32="*",HE32="*",HF32="*")),1,""))</f>
        <v/>
      </c>
      <c r="HL31" s="41" t="str">
        <f>IF(AND(HD31="*",OR(HD32="*",HE32="*",HF32="*")),1,IF(AND(HE31="*",OR(HD32="*",HE32="*",HF32="*")),1,IF(AND(HF31="*",OR(HD32="*",HE32="*",HF32="*")),1,"")))</f>
        <v/>
      </c>
      <c r="HM31" s="41" t="str">
        <f>IF(AND(HC31="*",HC32="*"),1,"")</f>
        <v/>
      </c>
      <c r="HO31" s="41"/>
      <c r="HP31" s="41"/>
      <c r="HQ31" s="41"/>
      <c r="HR31" s="41"/>
      <c r="HS31" s="41"/>
      <c r="HT31" s="41" t="str">
        <f>IF(AND(HO31="*",OR(HP32="*",HQ32="*",HR32="*")), 1,"")</f>
        <v/>
      </c>
      <c r="HU31" s="41" t="str">
        <f>IF(AND(HO31="*",HS32="*"),1,"")</f>
        <v/>
      </c>
      <c r="HV31" s="41" t="str">
        <f>IF(AND(HS32="*", OR(HP31="*", HQ31="*",HR31="*")),1,"")</f>
        <v/>
      </c>
      <c r="HW31" s="41" t="str">
        <f>IF(AND(HO32="*",OR(HP31="*",HQ31="*",HR31="*",HS31="*")),1,IF(AND(HS31="*",OR(HO32="*",HP32="*",HQ32="*",HR32="*")),1,""))</f>
        <v/>
      </c>
      <c r="HX31" s="41" t="str">
        <f>IF(AND(HP31="*",OR(HP32="*",HQ32="*",HR32="*")),1,IF(AND(HQ31="*",OR(HP32="*",HQ32="*",HR32="*")),1,IF(AND(HR31="*",OR(HP32="*",HQ32="*",HR32="*")),1,"")))</f>
        <v/>
      </c>
      <c r="HY31" s="41" t="str">
        <f>IF(AND(HO31="*",HO32="*"),1,"")</f>
        <v/>
      </c>
      <c r="IA31" s="41"/>
      <c r="IB31" s="41"/>
      <c r="IC31" s="41"/>
      <c r="ID31" s="41"/>
      <c r="IE31" s="41"/>
      <c r="IF31" s="41" t="str">
        <f>IF(AND(IA31="*",OR(IB32="*",IC32="*",ID32="*")), 1,"")</f>
        <v/>
      </c>
      <c r="IG31" s="41" t="str">
        <f>IF(AND(IA31="*",IE32="*"),1,"")</f>
        <v/>
      </c>
      <c r="IH31" s="41" t="str">
        <f>IF(AND(IE32="*", OR(IB31="*", IC31="*",ID31="*")),1,"")</f>
        <v/>
      </c>
      <c r="II31" s="41" t="str">
        <f>IF(AND(IA32="*",OR(IB31="*",IC31="*",ID31="*",IE31="*")),1,IF(AND(IE31="*",OR(IA32="*",IB32="*",IC32="*",ID32="*")),1,""))</f>
        <v/>
      </c>
      <c r="IJ31" s="41" t="str">
        <f>IF(AND(IB31="*",OR(IB32="*",IC32="*",ID32="*")),1,IF(AND(IC31="*",OR(IB32="*",IC32="*",ID32="*")),1,IF(AND(ID31="*",OR(IB32="*",IC32="*",ID32="*")),1,"")))</f>
        <v/>
      </c>
      <c r="IK31" s="41" t="str">
        <f>IF(AND(IA31="*",IA32="*"),1,"")</f>
        <v/>
      </c>
      <c r="IL31" s="41">
        <f>COUNT(J31,V31,AH31,AT31,BF31,BS31,CE31,CQ31,DC31,DO31,EA31,EM31,EY31,FK31,FW31,GJ31,GV31,HH31,HT31,IF31)</f>
        <v>0</v>
      </c>
      <c r="IM31" s="41">
        <f t="shared" ref="IM31:IQ31" si="14">COUNT(K31,W31,AI31,AU31,BG31,BT31,CF31,CR31,DD31,DP31,EB31,EN31,EZ31,FL31,FX31,GK31,GW31,HI31,HU31,IG31)</f>
        <v>0</v>
      </c>
      <c r="IN31" s="41">
        <f t="shared" si="14"/>
        <v>0</v>
      </c>
      <c r="IO31" s="41">
        <f t="shared" si="14"/>
        <v>0</v>
      </c>
      <c r="IP31" s="41">
        <f t="shared" si="14"/>
        <v>0</v>
      </c>
      <c r="IQ31" s="41">
        <f t="shared" si="14"/>
        <v>0</v>
      </c>
    </row>
    <row r="32" spans="2:251" ht="15" customHeight="1" x14ac:dyDescent="0.4">
      <c r="B32" s="277"/>
      <c r="C32" s="279"/>
      <c r="D32" s="42" t="s">
        <v>54</v>
      </c>
      <c r="E32" s="41"/>
      <c r="F32" s="41"/>
      <c r="G32" s="41"/>
      <c r="H32" s="41"/>
      <c r="I32" s="41"/>
      <c r="J32" s="43"/>
      <c r="K32" s="43"/>
      <c r="L32" s="43"/>
      <c r="M32" s="43"/>
      <c r="N32" s="43"/>
      <c r="O32" s="43"/>
      <c r="Q32" s="41"/>
      <c r="R32" s="41"/>
      <c r="S32" s="41"/>
      <c r="T32" s="41"/>
      <c r="U32" s="41"/>
      <c r="V32" s="43"/>
      <c r="W32" s="43"/>
      <c r="X32" s="43"/>
      <c r="Y32" s="43"/>
      <c r="Z32" s="43"/>
      <c r="AA32" s="43"/>
      <c r="AC32" s="41"/>
      <c r="AD32" s="41"/>
      <c r="AE32" s="41"/>
      <c r="AF32" s="41"/>
      <c r="AG32" s="41"/>
      <c r="AH32" s="43"/>
      <c r="AI32" s="43"/>
      <c r="AJ32" s="43"/>
      <c r="AK32" s="43"/>
      <c r="AL32" s="43"/>
      <c r="AM32" s="43"/>
      <c r="AO32" s="41"/>
      <c r="AP32" s="41"/>
      <c r="AQ32" s="41"/>
      <c r="AR32" s="41"/>
      <c r="AS32" s="41"/>
      <c r="AT32" s="43"/>
      <c r="AU32" s="43"/>
      <c r="AV32" s="43"/>
      <c r="AW32" s="43"/>
      <c r="AX32" s="43"/>
      <c r="AY32" s="43"/>
      <c r="BA32" s="41"/>
      <c r="BB32" s="41"/>
      <c r="BC32" s="41"/>
      <c r="BD32" s="41"/>
      <c r="BE32" s="41"/>
      <c r="BF32" s="43"/>
      <c r="BG32" s="43"/>
      <c r="BH32" s="43"/>
      <c r="BI32" s="43"/>
      <c r="BJ32" s="43"/>
      <c r="BK32" s="43"/>
      <c r="BM32" s="41"/>
      <c r="BN32" s="41"/>
      <c r="BO32" s="41"/>
      <c r="BP32" s="41"/>
      <c r="BQ32" s="41"/>
      <c r="BR32" s="41"/>
      <c r="BS32" s="43"/>
      <c r="BT32" s="43"/>
      <c r="BU32" s="43"/>
      <c r="BV32" s="43"/>
      <c r="BW32" s="43"/>
      <c r="BX32" s="43"/>
      <c r="BZ32" s="41"/>
      <c r="CA32" s="41"/>
      <c r="CB32" s="41"/>
      <c r="CC32" s="41"/>
      <c r="CD32" s="41"/>
      <c r="CE32" s="43"/>
      <c r="CF32" s="43"/>
      <c r="CG32" s="43"/>
      <c r="CH32" s="43"/>
      <c r="CI32" s="43"/>
      <c r="CJ32" s="43"/>
      <c r="CL32" s="41"/>
      <c r="CM32" s="41"/>
      <c r="CN32" s="41"/>
      <c r="CO32" s="41"/>
      <c r="CP32" s="41"/>
      <c r="CQ32" s="43"/>
      <c r="CR32" s="43"/>
      <c r="CS32" s="43"/>
      <c r="CT32" s="43"/>
      <c r="CU32" s="43"/>
      <c r="CV32" s="43"/>
      <c r="CX32" s="41"/>
      <c r="CY32" s="41"/>
      <c r="CZ32" s="41"/>
      <c r="DA32" s="41"/>
      <c r="DB32" s="41"/>
      <c r="DC32" s="43"/>
      <c r="DD32" s="43"/>
      <c r="DE32" s="43"/>
      <c r="DF32" s="43"/>
      <c r="DG32" s="43"/>
      <c r="DH32" s="43"/>
      <c r="DJ32" s="41"/>
      <c r="DK32" s="41"/>
      <c r="DL32" s="41"/>
      <c r="DM32" s="41"/>
      <c r="DN32" s="41"/>
      <c r="DO32" s="43"/>
      <c r="DP32" s="43"/>
      <c r="DQ32" s="43"/>
      <c r="DR32" s="43"/>
      <c r="DS32" s="43"/>
      <c r="DT32" s="43"/>
      <c r="DV32" s="41"/>
      <c r="DW32" s="41"/>
      <c r="DX32" s="41"/>
      <c r="DY32" s="41"/>
      <c r="DZ32" s="41"/>
      <c r="EA32" s="43"/>
      <c r="EB32" s="43"/>
      <c r="EC32" s="43"/>
      <c r="ED32" s="43"/>
      <c r="EE32" s="43"/>
      <c r="EF32" s="43"/>
      <c r="EH32" s="41"/>
      <c r="EI32" s="41"/>
      <c r="EJ32" s="41"/>
      <c r="EK32" s="41"/>
      <c r="EL32" s="41"/>
      <c r="EM32" s="43"/>
      <c r="EN32" s="43"/>
      <c r="EO32" s="43"/>
      <c r="EP32" s="43"/>
      <c r="EQ32" s="43"/>
      <c r="ER32" s="43"/>
      <c r="ET32" s="41"/>
      <c r="EU32" s="41"/>
      <c r="EV32" s="41"/>
      <c r="EW32" s="41"/>
      <c r="EX32" s="41"/>
      <c r="EY32" s="43"/>
      <c r="EZ32" s="43"/>
      <c r="FA32" s="43"/>
      <c r="FB32" s="43"/>
      <c r="FC32" s="43"/>
      <c r="FD32" s="43"/>
      <c r="FF32" s="41"/>
      <c r="FG32" s="41"/>
      <c r="FH32" s="41"/>
      <c r="FI32" s="41"/>
      <c r="FJ32" s="41"/>
      <c r="FK32" s="43"/>
      <c r="FL32" s="43"/>
      <c r="FM32" s="43"/>
      <c r="FN32" s="43"/>
      <c r="FO32" s="43"/>
      <c r="FP32" s="43"/>
      <c r="FR32" s="41"/>
      <c r="FS32" s="41"/>
      <c r="FT32" s="41"/>
      <c r="FU32" s="41"/>
      <c r="FV32" s="41"/>
      <c r="FW32" s="43"/>
      <c r="FX32" s="43"/>
      <c r="FY32" s="43"/>
      <c r="FZ32" s="43"/>
      <c r="GA32" s="43"/>
      <c r="GB32" s="43"/>
      <c r="GD32" s="41"/>
      <c r="GE32" s="41"/>
      <c r="GF32" s="41"/>
      <c r="GG32" s="41"/>
      <c r="GH32" s="41"/>
      <c r="GI32" s="41"/>
      <c r="GJ32" s="43"/>
      <c r="GK32" s="43"/>
      <c r="GL32" s="43"/>
      <c r="GM32" s="43"/>
      <c r="GN32" s="43"/>
      <c r="GO32" s="43"/>
      <c r="GQ32" s="41"/>
      <c r="GR32" s="41"/>
      <c r="GS32" s="41"/>
      <c r="GT32" s="41"/>
      <c r="GU32" s="41"/>
      <c r="GV32" s="43"/>
      <c r="GW32" s="43"/>
      <c r="GX32" s="43"/>
      <c r="GY32" s="43"/>
      <c r="GZ32" s="43"/>
      <c r="HA32" s="43"/>
      <c r="HC32" s="41"/>
      <c r="HD32" s="41"/>
      <c r="HE32" s="41"/>
      <c r="HF32" s="41"/>
      <c r="HG32" s="41"/>
      <c r="HH32" s="43"/>
      <c r="HI32" s="43"/>
      <c r="HJ32" s="43"/>
      <c r="HK32" s="43"/>
      <c r="HL32" s="43"/>
      <c r="HM32" s="43"/>
      <c r="HO32" s="41"/>
      <c r="HP32" s="41"/>
      <c r="HQ32" s="41"/>
      <c r="HR32" s="41"/>
      <c r="HS32" s="41"/>
      <c r="HT32" s="43"/>
      <c r="HU32" s="43"/>
      <c r="HV32" s="43"/>
      <c r="HW32" s="43"/>
      <c r="HX32" s="43"/>
      <c r="HY32" s="43"/>
      <c r="IA32" s="41"/>
      <c r="IB32" s="41"/>
      <c r="IC32" s="41"/>
      <c r="ID32" s="41"/>
      <c r="IE32" s="41"/>
      <c r="IF32" s="43"/>
      <c r="IG32" s="43"/>
      <c r="IH32" s="43"/>
      <c r="II32" s="43"/>
      <c r="IJ32" s="43"/>
      <c r="IK32" s="43"/>
    </row>
    <row r="33" spans="2:251" ht="15" customHeight="1" x14ac:dyDescent="0.4">
      <c r="B33" s="273">
        <v>16</v>
      </c>
      <c r="C33" s="274">
        <f>고객요구사항도출표!C20</f>
        <v>0</v>
      </c>
      <c r="D33" s="40" t="s">
        <v>53</v>
      </c>
      <c r="E33" s="44"/>
      <c r="F33" s="44"/>
      <c r="G33" s="44"/>
      <c r="H33" s="44"/>
      <c r="I33" s="44"/>
      <c r="J33" s="44" t="str">
        <f>IF(AND(E33="*",OR(F34="*",G34="*",H34="*")), 1,"")</f>
        <v/>
      </c>
      <c r="K33" s="44" t="str">
        <f>IF(AND(E33="*",I34="*"),1,"")</f>
        <v/>
      </c>
      <c r="L33" s="44" t="str">
        <f>IF(AND(I34="*", OR(F33="*", G33="*",H33="*")),1,"")</f>
        <v/>
      </c>
      <c r="M33" s="44" t="str">
        <f>IF(AND(E34="*",OR(F33="*",G33="*",H33="*",I33="*")),1,IF(AND(I33="*",OR(E34="*",F34="*",G34="*",H34="*")),1,""))</f>
        <v/>
      </c>
      <c r="N33" s="44" t="str">
        <f>IF(AND(F33="*",OR(F34="*",G34="*",H34="*")),1,IF(AND(G33="*",OR(F34="*",G34="*",H34="*")),1,IF(AND(H33="*",OR(F34="*",G34="*",H34="*")),1,"")))</f>
        <v/>
      </c>
      <c r="O33" s="44" t="str">
        <f>IF(AND(E33="*",E34="*"),1,"")</f>
        <v/>
      </c>
      <c r="Q33" s="44"/>
      <c r="R33" s="44"/>
      <c r="S33" s="44"/>
      <c r="T33" s="44"/>
      <c r="U33" s="44"/>
      <c r="V33" s="44" t="str">
        <f>IF(AND(Q33="*",OR(R34="*",S34="*",T34="*")), 1,"")</f>
        <v/>
      </c>
      <c r="W33" s="44" t="str">
        <f>IF(AND(Q33="*",U34="*"),1,"")</f>
        <v/>
      </c>
      <c r="X33" s="44" t="str">
        <f>IF(AND(U34="*", OR(R33="*", S33="*",T33="*")),1,"")</f>
        <v/>
      </c>
      <c r="Y33" s="44" t="str">
        <f>IF(AND(Q34="*",OR(R33="*",S33="*",T33="*",U33="*")),1,IF(AND(U33="*",OR(Q34="*",R34="*",S34="*",T34="*")),1,""))</f>
        <v/>
      </c>
      <c r="Z33" s="44" t="str">
        <f>IF(AND(R33="*",OR(R34="*",S34="*",T34="*")),1,IF(AND(S33="*",OR(R34="*",S34="*",T34="*")),1,IF(AND(T33="*",OR(R34="*",S34="*",T34="*")),1,"")))</f>
        <v/>
      </c>
      <c r="AA33" s="44" t="str">
        <f>IF(AND(Q33="*",Q34="*"),1,"")</f>
        <v/>
      </c>
      <c r="AC33" s="44"/>
      <c r="AD33" s="44"/>
      <c r="AE33" s="44"/>
      <c r="AF33" s="44"/>
      <c r="AG33" s="44"/>
      <c r="AH33" s="44" t="str">
        <f>IF(AND(AC33="*",OR(AD34="*",AE34="*",AF34="*")), 1,"")</f>
        <v/>
      </c>
      <c r="AI33" s="44" t="str">
        <f>IF(AND(AC33="*",AG34="*"),1,"")</f>
        <v/>
      </c>
      <c r="AJ33" s="44" t="str">
        <f>IF(AND(AG34="*", OR(AD33="*", AE33="*",AF33="*")),1,"")</f>
        <v/>
      </c>
      <c r="AK33" s="44" t="str">
        <f>IF(AND(AC34="*",OR(AD33="*",AE33="*",AF33="*",AG33="*")),1,IF(AND(AG33="*",OR(AC34="*",AD34="*",AE34="*",AF34="*")),1,""))</f>
        <v/>
      </c>
      <c r="AL33" s="44" t="str">
        <f>IF(AND(AD33="*",OR(AD34="*",AE34="*",AF34="*")),1,IF(AND(AE33="*",OR(AD34="*",AE34="*",AF34="*")),1,IF(AND(AF33="*",OR(AD34="*",AE34="*",AF34="*")),1,"")))</f>
        <v/>
      </c>
      <c r="AM33" s="44" t="str">
        <f>IF(AND(AC33="*",AC34="*"),1,"")</f>
        <v/>
      </c>
      <c r="AO33" s="44"/>
      <c r="AP33" s="44"/>
      <c r="AQ33" s="44"/>
      <c r="AR33" s="44"/>
      <c r="AS33" s="44"/>
      <c r="AT33" s="44" t="str">
        <f>IF(AND(AO33="*",OR(AP34="*",AQ34="*",AR34="*")), 1,"")</f>
        <v/>
      </c>
      <c r="AU33" s="44" t="str">
        <f>IF(AND(AO33="*",AS34="*"),1,"")</f>
        <v/>
      </c>
      <c r="AV33" s="44" t="str">
        <f>IF(AND(AS34="*", OR(AP33="*", AQ33="*",AR33="*")),1,"")</f>
        <v/>
      </c>
      <c r="AW33" s="44" t="str">
        <f>IF(AND(AO34="*",OR(AP33="*",AQ33="*",AR33="*",AS33="*")),1,IF(AND(AS33="*",OR(AO34="*",AP34="*",AQ34="*",AR34="*")),1,""))</f>
        <v/>
      </c>
      <c r="AX33" s="44" t="str">
        <f>IF(AND(AP33="*",OR(AP34="*",AQ34="*",AR34="*")),1,IF(AND(AQ33="*",OR(AP34="*",AQ34="*",AR34="*")),1,IF(AND(AR33="*",OR(AP34="*",AQ34="*",AR34="*")),1,"")))</f>
        <v/>
      </c>
      <c r="AY33" s="44" t="str">
        <f>IF(AND(AO33="*",AO34="*"),1,"")</f>
        <v/>
      </c>
      <c r="BA33" s="44"/>
      <c r="BB33" s="44"/>
      <c r="BC33" s="44"/>
      <c r="BD33" s="44"/>
      <c r="BE33" s="44"/>
      <c r="BF33" s="44" t="str">
        <f>IF(AND(BA33="*",OR(BB34="*",BC34="*",BD34="*")), 1,"")</f>
        <v/>
      </c>
      <c r="BG33" s="44" t="str">
        <f>IF(AND(BA33="*",BE34="*"),1,"")</f>
        <v/>
      </c>
      <c r="BH33" s="44" t="str">
        <f>IF(AND(BE34="*", OR(BB33="*", BC33="*",BD33="*")),1,"")</f>
        <v/>
      </c>
      <c r="BI33" s="44" t="str">
        <f>IF(AND(BA34="*",OR(BB33="*",BC33="*",BD33="*",BE33="*")),1,IF(AND(BE33="*",OR(BA34="*",BB34="*",BC34="*",BD34="*")),1,""))</f>
        <v/>
      </c>
      <c r="BJ33" s="44" t="str">
        <f>IF(AND(BB33="*",OR(BB34="*",BC34="*",BD34="*")),1,IF(AND(BC33="*",OR(BB34="*",BC34="*",BD34="*")),1,IF(AND(BD33="*",OR(BB34="*",BC34="*",BD34="*")),1,"")))</f>
        <v/>
      </c>
      <c r="BK33" s="44" t="str">
        <f>IF(AND(BA33="*",BA34="*"),1,"")</f>
        <v/>
      </c>
      <c r="BM33" s="44"/>
      <c r="BN33" s="44"/>
      <c r="BO33" s="44"/>
      <c r="BP33" s="44"/>
      <c r="BQ33" s="44"/>
      <c r="BR33" s="44"/>
      <c r="BS33" s="44" t="str">
        <f>IF(AND(BM33="*",OR(BN34="*",BO34="*",BP34="*")), 1,"")</f>
        <v/>
      </c>
      <c r="BT33" s="44" t="str">
        <f>IF(AND(BM33="*",BQ34="*"),1,"")</f>
        <v/>
      </c>
      <c r="BU33" s="44" t="str">
        <f>IF(AND(BQ34="*", OR(BN33="*", BO33="*",BP33="*")),1,"")</f>
        <v/>
      </c>
      <c r="BV33" s="44" t="str">
        <f>IF(AND(BM34="*",OR(BN33="*",BO33="*",BP33="*",BQ33="*")),1,IF(AND(BQ33="*",OR(BM34="*",BN34="*",BO34="*",BP34="*")),1,""))</f>
        <v/>
      </c>
      <c r="BW33" s="44" t="str">
        <f>IF(AND(BN33="*",OR(BN34="*",BO34="*",BP34="*")),1,IF(AND(BO33="*",OR(BN34="*",BO34="*",BP34="*")),1,IF(AND(BP33="*",OR(BN34="*",BO34="*",BP34="*")),1,"")))</f>
        <v/>
      </c>
      <c r="BX33" s="44" t="str">
        <f>IF(AND(BM33="*",BM34="*"),1,"")</f>
        <v/>
      </c>
      <c r="BZ33" s="44"/>
      <c r="CA33" s="44"/>
      <c r="CB33" s="44"/>
      <c r="CC33" s="44"/>
      <c r="CD33" s="44"/>
      <c r="CE33" s="44" t="str">
        <f>IF(AND(BZ33="*",OR(CA34="*",CB34="*",CC34="*")), 1,"")</f>
        <v/>
      </c>
      <c r="CF33" s="44" t="str">
        <f>IF(AND(BZ33="*",CD34="*"),1,"")</f>
        <v/>
      </c>
      <c r="CG33" s="44" t="str">
        <f>IF(AND(CD34="*", OR(CA33="*", CB33="*",CC33="*")),1,"")</f>
        <v/>
      </c>
      <c r="CH33" s="44" t="str">
        <f>IF(AND(BZ34="*",OR(CA33="*",CB33="*",CC33="*",CD33="*")),1,IF(AND(CD33="*",OR(BZ34="*",CA34="*",CB34="*",CC34="*")),1,""))</f>
        <v/>
      </c>
      <c r="CI33" s="44" t="str">
        <f>IF(AND(CA33="*",OR(CA34="*",CB34="*",CC34="*")),1,IF(AND(CB33="*",OR(CA34="*",CB34="*",CC34="*")),1,IF(AND(CC33="*",OR(CA34="*",CB34="*",CC34="*")),1,"")))</f>
        <v/>
      </c>
      <c r="CJ33" s="44" t="str">
        <f>IF(AND(BZ33="*",BZ34="*"),1,"")</f>
        <v/>
      </c>
      <c r="CL33" s="44"/>
      <c r="CM33" s="44"/>
      <c r="CN33" s="44"/>
      <c r="CO33" s="44"/>
      <c r="CP33" s="44"/>
      <c r="CQ33" s="44" t="str">
        <f>IF(AND(CL33="*",OR(CM34="*",CN34="*",CO34="*")), 1,"")</f>
        <v/>
      </c>
      <c r="CR33" s="44" t="str">
        <f>IF(AND(CL33="*",CP34="*"),1,"")</f>
        <v/>
      </c>
      <c r="CS33" s="44" t="str">
        <f>IF(AND(CP34="*", OR(CM33="*", CN33="*",CO33="*")),1,"")</f>
        <v/>
      </c>
      <c r="CT33" s="44" t="str">
        <f>IF(AND(CL34="*",OR(CM33="*",CN33="*",CO33="*",CP33="*")),1,IF(AND(CP33="*",OR(CL34="*",CM34="*",CN34="*",CO34="*")),1,""))</f>
        <v/>
      </c>
      <c r="CU33" s="44" t="str">
        <f>IF(AND(CM33="*",OR(CM34="*",CN34="*",CO34="*")),1,IF(AND(CN33="*",OR(CM34="*",CN34="*",CO34="*")),1,IF(AND(CO33="*",OR(CM34="*",CN34="*",CO34="*")),1,"")))</f>
        <v/>
      </c>
      <c r="CV33" s="44" t="str">
        <f>IF(AND(CL33="*",CL34="*"),1,"")</f>
        <v/>
      </c>
      <c r="CX33" s="44"/>
      <c r="CY33" s="44"/>
      <c r="CZ33" s="44"/>
      <c r="DA33" s="44"/>
      <c r="DB33" s="44"/>
      <c r="DC33" s="44" t="str">
        <f>IF(AND(CX33="*",OR(CY34="*",CZ34="*",DA34="*")), 1,"")</f>
        <v/>
      </c>
      <c r="DD33" s="44" t="str">
        <f>IF(AND(CX33="*",DB34="*"),1,"")</f>
        <v/>
      </c>
      <c r="DE33" s="44" t="str">
        <f>IF(AND(DB34="*", OR(CY33="*", CZ33="*",DA33="*")),1,"")</f>
        <v/>
      </c>
      <c r="DF33" s="44" t="str">
        <f>IF(AND(CX34="*",OR(CY33="*",CZ33="*",DA33="*",DB33="*")),1,IF(AND(DB33="*",OR(CX34="*",CY34="*",CZ34="*",DA34="*")),1,""))</f>
        <v/>
      </c>
      <c r="DG33" s="44" t="str">
        <f>IF(AND(CY33="*",OR(CY34="*",CZ34="*",DA34="*")),1,IF(AND(CZ33="*",OR(CY34="*",CZ34="*",DA34="*")),1,IF(AND(DA33="*",OR(CY34="*",CZ34="*",DA34="*")),1,"")))</f>
        <v/>
      </c>
      <c r="DH33" s="44" t="str">
        <f>IF(AND(CX33="*",CX34="*"),1,"")</f>
        <v/>
      </c>
      <c r="DJ33" s="44"/>
      <c r="DK33" s="44"/>
      <c r="DL33" s="44"/>
      <c r="DM33" s="44"/>
      <c r="DN33" s="44"/>
      <c r="DO33" s="44" t="str">
        <f>IF(AND(DJ33="*",OR(DK34="*",DL34="*",DM34="*")), 1,"")</f>
        <v/>
      </c>
      <c r="DP33" s="44" t="str">
        <f>IF(AND(DJ33="*",DN34="*"),1,"")</f>
        <v/>
      </c>
      <c r="DQ33" s="44" t="str">
        <f>IF(AND(DN34="*", OR(DK33="*", DL33="*",DM33="*")),1,"")</f>
        <v/>
      </c>
      <c r="DR33" s="44" t="str">
        <f>IF(AND(DJ34="*",OR(DK33="*",DL33="*",DM33="*",DN33="*")),1,IF(AND(DN33="*",OR(DJ34="*",DK34="*",DL34="*",DM34="*")),1,""))</f>
        <v/>
      </c>
      <c r="DS33" s="44" t="str">
        <f>IF(AND(DK33="*",OR(DK34="*",DL34="*",DM34="*")),1,IF(AND(DL33="*",OR(DK34="*",DL34="*",DM34="*")),1,IF(AND(DM33="*",OR(DK34="*",DL34="*",DM34="*")),1,"")))</f>
        <v/>
      </c>
      <c r="DT33" s="44" t="str">
        <f>IF(AND(DJ33="*",DJ34="*"),1,"")</f>
        <v/>
      </c>
      <c r="DV33" s="44"/>
      <c r="DW33" s="44"/>
      <c r="DX33" s="44"/>
      <c r="DY33" s="44"/>
      <c r="DZ33" s="44"/>
      <c r="EA33" s="44" t="str">
        <f>IF(AND(DV33="*",OR(DW34="*",DX34="*",DY34="*")), 1,"")</f>
        <v/>
      </c>
      <c r="EB33" s="44" t="str">
        <f>IF(AND(DV33="*",DZ34="*"),1,"")</f>
        <v/>
      </c>
      <c r="EC33" s="44" t="str">
        <f>IF(AND(DZ34="*", OR(DW33="*", DX33="*",DY33="*")),1,"")</f>
        <v/>
      </c>
      <c r="ED33" s="44" t="str">
        <f>IF(AND(DV34="*",OR(DW33="*",DX33="*",DY33="*",DZ33="*")),1,IF(AND(DZ33="*",OR(DV34="*",DW34="*",DX34="*",DY34="*")),1,""))</f>
        <v/>
      </c>
      <c r="EE33" s="44" t="str">
        <f>IF(AND(DW33="*",OR(DW34="*",DX34="*",DY34="*")),1,IF(AND(DX33="*",OR(DW34="*",DX34="*",DY34="*")),1,IF(AND(DY33="*",OR(DW34="*",DX34="*",DY34="*")),1,"")))</f>
        <v/>
      </c>
      <c r="EF33" s="44" t="str">
        <f>IF(AND(DV33="*",DV34="*"),1,"")</f>
        <v/>
      </c>
      <c r="EH33" s="44"/>
      <c r="EI33" s="44"/>
      <c r="EJ33" s="44"/>
      <c r="EK33" s="44"/>
      <c r="EL33" s="44"/>
      <c r="EM33" s="44" t="str">
        <f>IF(AND(EH33="*",OR(EI34="*",EJ34="*",EK34="*")), 1,"")</f>
        <v/>
      </c>
      <c r="EN33" s="44" t="str">
        <f>IF(AND(EH33="*",EL34="*"),1,"")</f>
        <v/>
      </c>
      <c r="EO33" s="44" t="str">
        <f>IF(AND(EL34="*", OR(EI33="*", EJ33="*",EK33="*")),1,"")</f>
        <v/>
      </c>
      <c r="EP33" s="44" t="str">
        <f>IF(AND(EH34="*",OR(EI33="*",EJ33="*",EK33="*",EL33="*")),1,IF(AND(EL33="*",OR(EH34="*",EI34="*",EJ34="*",EK34="*")),1,""))</f>
        <v/>
      </c>
      <c r="EQ33" s="44" t="str">
        <f>IF(AND(EI33="*",OR(EI34="*",EJ34="*",EK34="*")),1,IF(AND(EJ33="*",OR(EI34="*",EJ34="*",EK34="*")),1,IF(AND(EK33="*",OR(EI34="*",EJ34="*",EK34="*")),1,"")))</f>
        <v/>
      </c>
      <c r="ER33" s="44" t="str">
        <f>IF(AND(EH33="*",EH34="*"),1,"")</f>
        <v/>
      </c>
      <c r="ET33" s="44"/>
      <c r="EU33" s="44"/>
      <c r="EV33" s="44"/>
      <c r="EW33" s="44"/>
      <c r="EX33" s="44"/>
      <c r="EY33" s="44" t="str">
        <f>IF(AND(ET33="*",OR(EU34="*",EV34="*",EW34="*")), 1,"")</f>
        <v/>
      </c>
      <c r="EZ33" s="44" t="str">
        <f>IF(AND(ET33="*",EX34="*"),1,"")</f>
        <v/>
      </c>
      <c r="FA33" s="44" t="str">
        <f>IF(AND(EX34="*", OR(EU33="*", EV33="*",EW33="*")),1,"")</f>
        <v/>
      </c>
      <c r="FB33" s="44" t="str">
        <f>IF(AND(ET34="*",OR(EU33="*",EV33="*",EW33="*",EX33="*")),1,IF(AND(EX33="*",OR(ET34="*",EU34="*",EV34="*",EW34="*")),1,""))</f>
        <v/>
      </c>
      <c r="FC33" s="44" t="str">
        <f>IF(AND(EU33="*",OR(EU34="*",EV34="*",EW34="*")),1,IF(AND(EV33="*",OR(EU34="*",EV34="*",EW34="*")),1,IF(AND(EW33="*",OR(EU34="*",EV34="*",EW34="*")),1,"")))</f>
        <v/>
      </c>
      <c r="FD33" s="44" t="str">
        <f>IF(AND(ET33="*",ET34="*"),1,"")</f>
        <v/>
      </c>
      <c r="FF33" s="44"/>
      <c r="FG33" s="44"/>
      <c r="FH33" s="44"/>
      <c r="FI33" s="44"/>
      <c r="FJ33" s="44"/>
      <c r="FK33" s="44" t="str">
        <f>IF(AND(FF33="*",OR(FG34="*",FH34="*",FI34="*")), 1,"")</f>
        <v/>
      </c>
      <c r="FL33" s="44" t="str">
        <f>IF(AND(FF33="*",FJ34="*"),1,"")</f>
        <v/>
      </c>
      <c r="FM33" s="44" t="str">
        <f>IF(AND(FJ34="*", OR(FG33="*", FH33="*",FI33="*")),1,"")</f>
        <v/>
      </c>
      <c r="FN33" s="44" t="str">
        <f>IF(AND(FF34="*",OR(FG33="*",FH33="*",FI33="*",FJ33="*")),1,IF(AND(FJ33="*",OR(FF34="*",FG34="*",FH34="*",FI34="*")),1,""))</f>
        <v/>
      </c>
      <c r="FO33" s="44" t="str">
        <f>IF(AND(FG33="*",OR(FG34="*",FH34="*",FI34="*")),1,IF(AND(FH33="*",OR(FG34="*",FH34="*",FI34="*")),1,IF(AND(FI33="*",OR(FG34="*",FH34="*",FI34="*")),1,"")))</f>
        <v/>
      </c>
      <c r="FP33" s="44" t="str">
        <f>IF(AND(FF33="*",FF34="*"),1,"")</f>
        <v/>
      </c>
      <c r="FR33" s="44"/>
      <c r="FS33" s="44"/>
      <c r="FT33" s="44"/>
      <c r="FU33" s="44"/>
      <c r="FV33" s="44"/>
      <c r="FW33" s="44" t="str">
        <f>IF(AND(FR33="*",OR(FS34="*",FT34="*",FU34="*")), 1,"")</f>
        <v/>
      </c>
      <c r="FX33" s="44" t="str">
        <f>IF(AND(FR33="*",FV34="*"),1,"")</f>
        <v/>
      </c>
      <c r="FY33" s="44" t="str">
        <f>IF(AND(FV34="*", OR(FS33="*", FT33="*",FU33="*")),1,"")</f>
        <v/>
      </c>
      <c r="FZ33" s="44" t="str">
        <f>IF(AND(FR34="*",OR(FS33="*",FT33="*",FU33="*",FV33="*")),1,IF(AND(FV33="*",OR(FR34="*",FS34="*",FT34="*",FU34="*")),1,""))</f>
        <v/>
      </c>
      <c r="GA33" s="44" t="str">
        <f>IF(AND(FS33="*",OR(FS34="*",FT34="*",FU34="*")),1,IF(AND(FT33="*",OR(FS34="*",FT34="*",FU34="*")),1,IF(AND(FU33="*",OR(FS34="*",FT34="*",FU34="*")),1,"")))</f>
        <v/>
      </c>
      <c r="GB33" s="44" t="str">
        <f>IF(AND(FR33="*",FR34="*"),1,"")</f>
        <v/>
      </c>
      <c r="GD33" s="44"/>
      <c r="GE33" s="44"/>
      <c r="GF33" s="44"/>
      <c r="GG33" s="44"/>
      <c r="GH33" s="44"/>
      <c r="GI33" s="44"/>
      <c r="GJ33" s="44" t="str">
        <f>IF(AND(GD33="*",OR(GE34="*",GF34="*",GG34="*")), 1,"")</f>
        <v/>
      </c>
      <c r="GK33" s="44" t="str">
        <f>IF(AND(GD33="*",GH34="*"),1,"")</f>
        <v/>
      </c>
      <c r="GL33" s="44" t="str">
        <f>IF(AND(GH34="*", OR(GE33="*", GF33="*",GG33="*")),1,"")</f>
        <v/>
      </c>
      <c r="GM33" s="44" t="str">
        <f>IF(AND(GD34="*",OR(GE33="*",GF33="*",GG33="*",GH33="*")),1,IF(AND(GH33="*",OR(GD34="*",GE34="*",GF34="*",GG34="*")),1,""))</f>
        <v/>
      </c>
      <c r="GN33" s="44" t="str">
        <f>IF(AND(GE33="*",OR(GE34="*",GF34="*",GG34="*")),1,IF(AND(GF33="*",OR(GE34="*",GF34="*",GG34="*")),1,IF(AND(GG33="*",OR(GE34="*",GF34="*",GG34="*")),1,"")))</f>
        <v/>
      </c>
      <c r="GO33" s="44" t="str">
        <f>IF(AND(GD33="*",GD34="*"),1,"")</f>
        <v/>
      </c>
      <c r="GQ33" s="44"/>
      <c r="GR33" s="44"/>
      <c r="GS33" s="44"/>
      <c r="GT33" s="44"/>
      <c r="GU33" s="44"/>
      <c r="GV33" s="44" t="str">
        <f>IF(AND(GQ33="*",OR(GR34="*",GS34="*",GT34="*")), 1,"")</f>
        <v/>
      </c>
      <c r="GW33" s="44" t="str">
        <f>IF(AND(GQ33="*",GU34="*"),1,"")</f>
        <v/>
      </c>
      <c r="GX33" s="44" t="str">
        <f>IF(AND(GU34="*", OR(GR33="*", GS33="*",GT33="*")),1,"")</f>
        <v/>
      </c>
      <c r="GY33" s="44" t="str">
        <f>IF(AND(GQ34="*",OR(GR33="*",GS33="*",GT33="*",GU33="*")),1,IF(AND(GU33="*",OR(GQ34="*",GR34="*",GS34="*",GT34="*")),1,""))</f>
        <v/>
      </c>
      <c r="GZ33" s="44" t="str">
        <f>IF(AND(GR33="*",OR(GR34="*",GS34="*",GT34="*")),1,IF(AND(GS33="*",OR(GR34="*",GS34="*",GT34="*")),1,IF(AND(GT33="*",OR(GR34="*",GS34="*",GT34="*")),1,"")))</f>
        <v/>
      </c>
      <c r="HA33" s="44" t="str">
        <f>IF(AND(GQ33="*",GQ34="*"),1,"")</f>
        <v/>
      </c>
      <c r="HC33" s="44"/>
      <c r="HD33" s="44"/>
      <c r="HE33" s="44"/>
      <c r="HF33" s="44"/>
      <c r="HG33" s="44"/>
      <c r="HH33" s="44" t="str">
        <f>IF(AND(HC33="*",OR(HD34="*",HE34="*",HF34="*")), 1,"")</f>
        <v/>
      </c>
      <c r="HI33" s="44" t="str">
        <f>IF(AND(HC33="*",HG34="*"),1,"")</f>
        <v/>
      </c>
      <c r="HJ33" s="44" t="str">
        <f>IF(AND(HG34="*", OR(HD33="*", HE33="*",HF33="*")),1,"")</f>
        <v/>
      </c>
      <c r="HK33" s="44" t="str">
        <f>IF(AND(HC34="*",OR(HD33="*",HE33="*",HF33="*",HG33="*")),1,IF(AND(HG33="*",OR(HC34="*",HD34="*",HE34="*",HF34="*")),1,""))</f>
        <v/>
      </c>
      <c r="HL33" s="44" t="str">
        <f>IF(AND(HD33="*",OR(HD34="*",HE34="*",HF34="*")),1,IF(AND(HE33="*",OR(HD34="*",HE34="*",HF34="*")),1,IF(AND(HF33="*",OR(HD34="*",HE34="*",HF34="*")),1,"")))</f>
        <v/>
      </c>
      <c r="HM33" s="44" t="str">
        <f>IF(AND(HC33="*",HC34="*"),1,"")</f>
        <v/>
      </c>
      <c r="HO33" s="44"/>
      <c r="HP33" s="44"/>
      <c r="HQ33" s="44"/>
      <c r="HR33" s="44"/>
      <c r="HS33" s="44"/>
      <c r="HT33" s="44" t="str">
        <f>IF(AND(HO33="*",OR(HP34="*",HQ34="*",HR34="*")), 1,"")</f>
        <v/>
      </c>
      <c r="HU33" s="44" t="str">
        <f>IF(AND(HO33="*",HS34="*"),1,"")</f>
        <v/>
      </c>
      <c r="HV33" s="44" t="str">
        <f>IF(AND(HS34="*", OR(HP33="*", HQ33="*",HR33="*")),1,"")</f>
        <v/>
      </c>
      <c r="HW33" s="44" t="str">
        <f>IF(AND(HO34="*",OR(HP33="*",HQ33="*",HR33="*",HS33="*")),1,IF(AND(HS33="*",OR(HO34="*",HP34="*",HQ34="*",HR34="*")),1,""))</f>
        <v/>
      </c>
      <c r="HX33" s="44" t="str">
        <f>IF(AND(HP33="*",OR(HP34="*",HQ34="*",HR34="*")),1,IF(AND(HQ33="*",OR(HP34="*",HQ34="*",HR34="*")),1,IF(AND(HR33="*",OR(HP34="*",HQ34="*",HR34="*")),1,"")))</f>
        <v/>
      </c>
      <c r="HY33" s="44" t="str">
        <f>IF(AND(HO33="*",HO34="*"),1,"")</f>
        <v/>
      </c>
      <c r="IA33" s="44"/>
      <c r="IB33" s="44"/>
      <c r="IC33" s="44"/>
      <c r="ID33" s="44"/>
      <c r="IE33" s="44"/>
      <c r="IF33" s="44" t="str">
        <f>IF(AND(IA33="*",OR(IB34="*",IC34="*",ID34="*")), 1,"")</f>
        <v/>
      </c>
      <c r="IG33" s="44" t="str">
        <f>IF(AND(IA33="*",IE34="*"),1,"")</f>
        <v/>
      </c>
      <c r="IH33" s="44" t="str">
        <f>IF(AND(IE34="*", OR(IB33="*", IC33="*",ID33="*")),1,"")</f>
        <v/>
      </c>
      <c r="II33" s="44" t="str">
        <f>IF(AND(IA34="*",OR(IB33="*",IC33="*",ID33="*",IE33="*")),1,IF(AND(IE33="*",OR(IA34="*",IB34="*",IC34="*",ID34="*")),1,""))</f>
        <v/>
      </c>
      <c r="IJ33" s="44" t="str">
        <f>IF(AND(IB33="*",OR(IB34="*",IC34="*",ID34="*")),1,IF(AND(IC33="*",OR(IB34="*",IC34="*",ID34="*")),1,IF(AND(ID33="*",OR(IB34="*",IC34="*",ID34="*")),1,"")))</f>
        <v/>
      </c>
      <c r="IK33" s="44" t="str">
        <f>IF(AND(IA33="*",IA34="*"),1,"")</f>
        <v/>
      </c>
      <c r="IL33" s="44">
        <f>COUNT(J33,V33,AH33,AT33,BF33,BS33,CE33,CQ33,DC33,DO33,EA33,EM33,EY33,FK33,FW33,GJ33,GV33,HH33,HT33,IF33)</f>
        <v>0</v>
      </c>
      <c r="IM33" s="44">
        <f t="shared" ref="IM33:IQ33" si="15">COUNT(K33,W33,AI33,AU33,BG33,BT33,CF33,CR33,DD33,DP33,EB33,EN33,EZ33,FL33,FX33,GK33,GW33,HI33,HU33,IG33)</f>
        <v>0</v>
      </c>
      <c r="IN33" s="44">
        <f t="shared" si="15"/>
        <v>0</v>
      </c>
      <c r="IO33" s="44">
        <f t="shared" si="15"/>
        <v>0</v>
      </c>
      <c r="IP33" s="44">
        <f t="shared" si="15"/>
        <v>0</v>
      </c>
      <c r="IQ33" s="44">
        <f t="shared" si="15"/>
        <v>0</v>
      </c>
    </row>
    <row r="34" spans="2:251" ht="15" customHeight="1" x14ac:dyDescent="0.4">
      <c r="B34" s="273"/>
      <c r="C34" s="275"/>
      <c r="D34" s="42" t="s">
        <v>54</v>
      </c>
      <c r="E34" s="44"/>
      <c r="F34" s="44"/>
      <c r="G34" s="44"/>
      <c r="H34" s="44"/>
      <c r="I34" s="44"/>
      <c r="J34" s="43"/>
      <c r="K34" s="43"/>
      <c r="L34" s="43"/>
      <c r="M34" s="43"/>
      <c r="N34" s="43"/>
      <c r="O34" s="43"/>
      <c r="Q34" s="44"/>
      <c r="R34" s="44"/>
      <c r="S34" s="44"/>
      <c r="T34" s="44"/>
      <c r="U34" s="44"/>
      <c r="V34" s="43"/>
      <c r="W34" s="43"/>
      <c r="X34" s="43"/>
      <c r="Y34" s="43"/>
      <c r="Z34" s="43"/>
      <c r="AA34" s="43"/>
      <c r="AC34" s="44"/>
      <c r="AD34" s="44"/>
      <c r="AE34" s="44"/>
      <c r="AF34" s="44"/>
      <c r="AG34" s="44"/>
      <c r="AH34" s="43"/>
      <c r="AI34" s="43"/>
      <c r="AJ34" s="43"/>
      <c r="AK34" s="43"/>
      <c r="AL34" s="43"/>
      <c r="AM34" s="43"/>
      <c r="AO34" s="44"/>
      <c r="AP34" s="44"/>
      <c r="AQ34" s="44"/>
      <c r="AR34" s="44"/>
      <c r="AS34" s="44"/>
      <c r="AT34" s="43"/>
      <c r="AU34" s="43"/>
      <c r="AV34" s="43"/>
      <c r="AW34" s="43"/>
      <c r="AX34" s="43"/>
      <c r="AY34" s="43"/>
      <c r="BA34" s="44"/>
      <c r="BB34" s="44"/>
      <c r="BC34" s="44"/>
      <c r="BD34" s="44"/>
      <c r="BE34" s="44"/>
      <c r="BF34" s="43"/>
      <c r="BG34" s="43"/>
      <c r="BH34" s="43"/>
      <c r="BI34" s="43"/>
      <c r="BJ34" s="43"/>
      <c r="BK34" s="43"/>
      <c r="BM34" s="44"/>
      <c r="BN34" s="44"/>
      <c r="BO34" s="44"/>
      <c r="BP34" s="44"/>
      <c r="BQ34" s="44"/>
      <c r="BR34" s="44"/>
      <c r="BS34" s="43"/>
      <c r="BT34" s="43"/>
      <c r="BU34" s="43"/>
      <c r="BV34" s="43"/>
      <c r="BW34" s="43"/>
      <c r="BX34" s="43"/>
      <c r="BZ34" s="44"/>
      <c r="CA34" s="44"/>
      <c r="CB34" s="44"/>
      <c r="CC34" s="44"/>
      <c r="CD34" s="44"/>
      <c r="CE34" s="43"/>
      <c r="CF34" s="43"/>
      <c r="CG34" s="43"/>
      <c r="CH34" s="43"/>
      <c r="CI34" s="43"/>
      <c r="CJ34" s="43"/>
      <c r="CL34" s="44"/>
      <c r="CM34" s="44"/>
      <c r="CN34" s="44"/>
      <c r="CO34" s="44"/>
      <c r="CP34" s="44"/>
      <c r="CQ34" s="43"/>
      <c r="CR34" s="43"/>
      <c r="CS34" s="43"/>
      <c r="CT34" s="43"/>
      <c r="CU34" s="43"/>
      <c r="CV34" s="43"/>
      <c r="CX34" s="44"/>
      <c r="CY34" s="44"/>
      <c r="CZ34" s="44"/>
      <c r="DA34" s="44"/>
      <c r="DB34" s="44"/>
      <c r="DC34" s="43"/>
      <c r="DD34" s="43"/>
      <c r="DE34" s="43"/>
      <c r="DF34" s="43"/>
      <c r="DG34" s="43"/>
      <c r="DH34" s="43"/>
      <c r="DJ34" s="44"/>
      <c r="DK34" s="44"/>
      <c r="DL34" s="44"/>
      <c r="DM34" s="44"/>
      <c r="DN34" s="44"/>
      <c r="DO34" s="43"/>
      <c r="DP34" s="43"/>
      <c r="DQ34" s="43"/>
      <c r="DR34" s="43"/>
      <c r="DS34" s="43"/>
      <c r="DT34" s="43"/>
      <c r="DV34" s="44"/>
      <c r="DW34" s="44"/>
      <c r="DX34" s="44"/>
      <c r="DY34" s="44"/>
      <c r="DZ34" s="44"/>
      <c r="EA34" s="43"/>
      <c r="EB34" s="43"/>
      <c r="EC34" s="43"/>
      <c r="ED34" s="43"/>
      <c r="EE34" s="43"/>
      <c r="EF34" s="43"/>
      <c r="EH34" s="44"/>
      <c r="EI34" s="44"/>
      <c r="EJ34" s="44"/>
      <c r="EK34" s="44"/>
      <c r="EL34" s="44"/>
      <c r="EM34" s="43"/>
      <c r="EN34" s="43"/>
      <c r="EO34" s="43"/>
      <c r="EP34" s="43"/>
      <c r="EQ34" s="43"/>
      <c r="ER34" s="43"/>
      <c r="ET34" s="44"/>
      <c r="EU34" s="44"/>
      <c r="EV34" s="44"/>
      <c r="EW34" s="44"/>
      <c r="EX34" s="44"/>
      <c r="EY34" s="43"/>
      <c r="EZ34" s="43"/>
      <c r="FA34" s="43"/>
      <c r="FB34" s="43"/>
      <c r="FC34" s="43"/>
      <c r="FD34" s="43"/>
      <c r="FF34" s="44"/>
      <c r="FG34" s="44"/>
      <c r="FH34" s="44"/>
      <c r="FI34" s="44"/>
      <c r="FJ34" s="44"/>
      <c r="FK34" s="43"/>
      <c r="FL34" s="43"/>
      <c r="FM34" s="43"/>
      <c r="FN34" s="43"/>
      <c r="FO34" s="43"/>
      <c r="FP34" s="43"/>
      <c r="FR34" s="44"/>
      <c r="FS34" s="44"/>
      <c r="FT34" s="44"/>
      <c r="FU34" s="44"/>
      <c r="FV34" s="44"/>
      <c r="FW34" s="43"/>
      <c r="FX34" s="43"/>
      <c r="FY34" s="43"/>
      <c r="FZ34" s="43"/>
      <c r="GA34" s="43"/>
      <c r="GB34" s="43"/>
      <c r="GD34" s="44"/>
      <c r="GE34" s="44"/>
      <c r="GF34" s="44"/>
      <c r="GG34" s="44"/>
      <c r="GH34" s="44"/>
      <c r="GI34" s="44"/>
      <c r="GJ34" s="43"/>
      <c r="GK34" s="43"/>
      <c r="GL34" s="43"/>
      <c r="GM34" s="43"/>
      <c r="GN34" s="43"/>
      <c r="GO34" s="43"/>
      <c r="GQ34" s="44"/>
      <c r="GR34" s="44"/>
      <c r="GS34" s="44"/>
      <c r="GT34" s="44"/>
      <c r="GU34" s="44"/>
      <c r="GV34" s="43"/>
      <c r="GW34" s="43"/>
      <c r="GX34" s="43"/>
      <c r="GY34" s="43"/>
      <c r="GZ34" s="43"/>
      <c r="HA34" s="43"/>
      <c r="HC34" s="44"/>
      <c r="HD34" s="44"/>
      <c r="HE34" s="44"/>
      <c r="HF34" s="44"/>
      <c r="HG34" s="44"/>
      <c r="HH34" s="43"/>
      <c r="HI34" s="43"/>
      <c r="HJ34" s="43"/>
      <c r="HK34" s="43"/>
      <c r="HL34" s="43"/>
      <c r="HM34" s="43"/>
      <c r="HO34" s="44"/>
      <c r="HP34" s="44"/>
      <c r="HQ34" s="44"/>
      <c r="HR34" s="44"/>
      <c r="HS34" s="44"/>
      <c r="HT34" s="43"/>
      <c r="HU34" s="43"/>
      <c r="HV34" s="43"/>
      <c r="HW34" s="43"/>
      <c r="HX34" s="43"/>
      <c r="HY34" s="43"/>
      <c r="IA34" s="44"/>
      <c r="IB34" s="44"/>
      <c r="IC34" s="44"/>
      <c r="ID34" s="44"/>
      <c r="IE34" s="44"/>
      <c r="IF34" s="43"/>
      <c r="IG34" s="43"/>
      <c r="IH34" s="43"/>
      <c r="II34" s="43"/>
      <c r="IJ34" s="43"/>
      <c r="IK34" s="43"/>
    </row>
    <row r="35" spans="2:251" ht="15" customHeight="1" x14ac:dyDescent="0.4">
      <c r="B35" s="276">
        <v>17</v>
      </c>
      <c r="C35" s="278">
        <f>고객요구사항도출표!C21</f>
        <v>0</v>
      </c>
      <c r="D35" s="40" t="s">
        <v>67</v>
      </c>
      <c r="E35" s="41"/>
      <c r="F35" s="41"/>
      <c r="G35" s="41"/>
      <c r="H35" s="41"/>
      <c r="I35" s="41"/>
      <c r="J35" s="41" t="str">
        <f>IF(AND(E35="*",OR(F36="*",G36="*",H36="*")), 1,"")</f>
        <v/>
      </c>
      <c r="K35" s="41" t="str">
        <f>IF(AND(E35="*",I36="*"),1,"")</f>
        <v/>
      </c>
      <c r="L35" s="41" t="str">
        <f>IF(AND(I36="*", OR(F35="*", G35="*",H35="*")),1,"")</f>
        <v/>
      </c>
      <c r="M35" s="41" t="str">
        <f>IF(AND(E36="*",OR(F35="*",G35="*",H35="*",I35="*")),1,IF(AND(I35="*",OR(E36="*",F36="*",G36="*",H36="*")),1,""))</f>
        <v/>
      </c>
      <c r="N35" s="41" t="str">
        <f>IF(AND(F35="*",OR(F36="*",G36="*",H36="*")),1,IF(AND(G35="*",OR(F36="*",G36="*",H36="*")),1,IF(AND(H35="*",OR(F36="*",G36="*",H36="*")),1,"")))</f>
        <v/>
      </c>
      <c r="O35" s="41" t="str">
        <f>IF(AND(E35="*",E36="*"),1,"")</f>
        <v/>
      </c>
      <c r="Q35" s="41"/>
      <c r="R35" s="41"/>
      <c r="S35" s="41"/>
      <c r="T35" s="41"/>
      <c r="U35" s="41"/>
      <c r="V35" s="41" t="str">
        <f>IF(AND(Q35="*",OR(R36="*",S36="*",T36="*")), 1,"")</f>
        <v/>
      </c>
      <c r="W35" s="41" t="str">
        <f>IF(AND(Q35="*",U36="*"),1,"")</f>
        <v/>
      </c>
      <c r="X35" s="41" t="str">
        <f>IF(AND(U36="*", OR(R35="*", S35="*",T35="*")),1,"")</f>
        <v/>
      </c>
      <c r="Y35" s="41" t="str">
        <f>IF(AND(Q36="*",OR(R35="*",S35="*",T35="*",U35="*")),1,IF(AND(U35="*",OR(Q36="*",R36="*",S36="*",T36="*")),1,""))</f>
        <v/>
      </c>
      <c r="Z35" s="41" t="str">
        <f>IF(AND(R35="*",OR(R36="*",S36="*",T36="*")),1,IF(AND(S35="*",OR(R36="*",S36="*",T36="*")),1,IF(AND(T35="*",OR(R36="*",S36="*",T36="*")),1,"")))</f>
        <v/>
      </c>
      <c r="AA35" s="41" t="str">
        <f>IF(AND(Q35="*",Q36="*"),1,"")</f>
        <v/>
      </c>
      <c r="AC35" s="41"/>
      <c r="AD35" s="41"/>
      <c r="AE35" s="41"/>
      <c r="AF35" s="41"/>
      <c r="AG35" s="41"/>
      <c r="AH35" s="41" t="str">
        <f>IF(AND(AC35="*",OR(AD36="*",AE36="*",AF36="*")), 1,"")</f>
        <v/>
      </c>
      <c r="AI35" s="41" t="str">
        <f>IF(AND(AC35="*",AG36="*"),1,"")</f>
        <v/>
      </c>
      <c r="AJ35" s="41" t="str">
        <f>IF(AND(AG36="*", OR(AD35="*", AE35="*",AF35="*")),1,"")</f>
        <v/>
      </c>
      <c r="AK35" s="41" t="str">
        <f>IF(AND(AC36="*",OR(AD35="*",AE35="*",AF35="*",AG35="*")),1,IF(AND(AG35="*",OR(AC36="*",AD36="*",AE36="*",AF36="*")),1,""))</f>
        <v/>
      </c>
      <c r="AL35" s="41" t="str">
        <f>IF(AND(AD35="*",OR(AD36="*",AE36="*",AF36="*")),1,IF(AND(AE35="*",OR(AD36="*",AE36="*",AF36="*")),1,IF(AND(AF35="*",OR(AD36="*",AE36="*",AF36="*")),1,"")))</f>
        <v/>
      </c>
      <c r="AM35" s="41" t="str">
        <f>IF(AND(AC35="*",AC36="*"),1,"")</f>
        <v/>
      </c>
      <c r="AO35" s="41"/>
      <c r="AP35" s="41"/>
      <c r="AQ35" s="41"/>
      <c r="AR35" s="41"/>
      <c r="AS35" s="41"/>
      <c r="AT35" s="41" t="str">
        <f>IF(AND(AO35="*",OR(AP36="*",AQ36="*",AR36="*")), 1,"")</f>
        <v/>
      </c>
      <c r="AU35" s="41" t="str">
        <f>IF(AND(AO35="*",AS36="*"),1,"")</f>
        <v/>
      </c>
      <c r="AV35" s="41" t="str">
        <f>IF(AND(AS36="*", OR(AP35="*", AQ35="*",AR35="*")),1,"")</f>
        <v/>
      </c>
      <c r="AW35" s="41" t="str">
        <f>IF(AND(AO36="*",OR(AP35="*",AQ35="*",AR35="*",AS35="*")),1,IF(AND(AS35="*",OR(AO36="*",AP36="*",AQ36="*",AR36="*")),1,""))</f>
        <v/>
      </c>
      <c r="AX35" s="41" t="str">
        <f>IF(AND(AP35="*",OR(AP36="*",AQ36="*",AR36="*")),1,IF(AND(AQ35="*",OR(AP36="*",AQ36="*",AR36="*")),1,IF(AND(AR35="*",OR(AP36="*",AQ36="*",AR36="*")),1,"")))</f>
        <v/>
      </c>
      <c r="AY35" s="41" t="str">
        <f>IF(AND(AO35="*",AO36="*"),1,"")</f>
        <v/>
      </c>
      <c r="BA35" s="41"/>
      <c r="BB35" s="41"/>
      <c r="BC35" s="41"/>
      <c r="BD35" s="41"/>
      <c r="BE35" s="41"/>
      <c r="BF35" s="41" t="str">
        <f>IF(AND(BA35="*",OR(BB36="*",BC36="*",BD36="*")), 1,"")</f>
        <v/>
      </c>
      <c r="BG35" s="41" t="str">
        <f>IF(AND(BA35="*",BE36="*"),1,"")</f>
        <v/>
      </c>
      <c r="BH35" s="41" t="str">
        <f>IF(AND(BE36="*", OR(BB35="*", BC35="*",BD35="*")),1,"")</f>
        <v/>
      </c>
      <c r="BI35" s="41" t="str">
        <f>IF(AND(BA36="*",OR(BB35="*",BC35="*",BD35="*",BE35="*")),1,IF(AND(BE35="*",OR(BA36="*",BB36="*",BC36="*",BD36="*")),1,""))</f>
        <v/>
      </c>
      <c r="BJ35" s="41" t="str">
        <f>IF(AND(BB35="*",OR(BB36="*",BC36="*",BD36="*")),1,IF(AND(BC35="*",OR(BB36="*",BC36="*",BD36="*")),1,IF(AND(BD35="*",OR(BB36="*",BC36="*",BD36="*")),1,"")))</f>
        <v/>
      </c>
      <c r="BK35" s="41" t="str">
        <f>IF(AND(BA35="*",BA36="*"),1,"")</f>
        <v/>
      </c>
      <c r="BM35" s="41"/>
      <c r="BN35" s="41"/>
      <c r="BO35" s="41"/>
      <c r="BP35" s="41"/>
      <c r="BQ35" s="41"/>
      <c r="BR35" s="41"/>
      <c r="BS35" s="41" t="str">
        <f>IF(AND(BM35="*",OR(BN36="*",BO36="*",BP36="*")), 1,"")</f>
        <v/>
      </c>
      <c r="BT35" s="41" t="str">
        <f>IF(AND(BM35="*",BQ36="*"),1,"")</f>
        <v/>
      </c>
      <c r="BU35" s="41" t="str">
        <f>IF(AND(BQ36="*", OR(BN35="*", BO35="*",BP35="*")),1,"")</f>
        <v/>
      </c>
      <c r="BV35" s="41" t="str">
        <f>IF(AND(BM36="*",OR(BN35="*",BO35="*",BP35="*",BQ35="*")),1,IF(AND(BQ35="*",OR(BM36="*",BN36="*",BO36="*",BP36="*")),1,""))</f>
        <v/>
      </c>
      <c r="BW35" s="41" t="str">
        <f>IF(AND(BN35="*",OR(BN36="*",BO36="*",BP36="*")),1,IF(AND(BO35="*",OR(BN36="*",BO36="*",BP36="*")),1,IF(AND(BP35="*",OR(BN36="*",BO36="*",BP36="*")),1,"")))</f>
        <v/>
      </c>
      <c r="BX35" s="41" t="str">
        <f>IF(AND(BM35="*",BM36="*"),1,"")</f>
        <v/>
      </c>
      <c r="BZ35" s="41"/>
      <c r="CA35" s="41"/>
      <c r="CB35" s="41"/>
      <c r="CC35" s="41"/>
      <c r="CD35" s="41"/>
      <c r="CE35" s="41" t="str">
        <f>IF(AND(BZ35="*",OR(CA36="*",CB36="*",CC36="*")), 1,"")</f>
        <v/>
      </c>
      <c r="CF35" s="41" t="str">
        <f>IF(AND(BZ35="*",CD36="*"),1,"")</f>
        <v/>
      </c>
      <c r="CG35" s="41" t="str">
        <f>IF(AND(CD36="*", OR(CA35="*", CB35="*",CC35="*")),1,"")</f>
        <v/>
      </c>
      <c r="CH35" s="41" t="str">
        <f>IF(AND(BZ36="*",OR(CA35="*",CB35="*",CC35="*",CD35="*")),1,IF(AND(CD35="*",OR(BZ36="*",CA36="*",CB36="*",CC36="*")),1,""))</f>
        <v/>
      </c>
      <c r="CI35" s="41" t="str">
        <f>IF(AND(CA35="*",OR(CA36="*",CB36="*",CC36="*")),1,IF(AND(CB35="*",OR(CA36="*",CB36="*",CC36="*")),1,IF(AND(CC35="*",OR(CA36="*",CB36="*",CC36="*")),1,"")))</f>
        <v/>
      </c>
      <c r="CJ35" s="41" t="str">
        <f>IF(AND(BZ35="*",BZ36="*"),1,"")</f>
        <v/>
      </c>
      <c r="CL35" s="41"/>
      <c r="CM35" s="41"/>
      <c r="CN35" s="41"/>
      <c r="CO35" s="41"/>
      <c r="CP35" s="41"/>
      <c r="CQ35" s="41" t="str">
        <f>IF(AND(CL35="*",OR(CM36="*",CN36="*",CO36="*")), 1,"")</f>
        <v/>
      </c>
      <c r="CR35" s="41" t="str">
        <f>IF(AND(CL35="*",CP36="*"),1,"")</f>
        <v/>
      </c>
      <c r="CS35" s="41" t="str">
        <f>IF(AND(CP36="*", OR(CM35="*", CN35="*",CO35="*")),1,"")</f>
        <v/>
      </c>
      <c r="CT35" s="41" t="str">
        <f>IF(AND(CL36="*",OR(CM35="*",CN35="*",CO35="*",CP35="*")),1,IF(AND(CP35="*",OR(CL36="*",CM36="*",CN36="*",CO36="*")),1,""))</f>
        <v/>
      </c>
      <c r="CU35" s="41" t="str">
        <f>IF(AND(CM35="*",OR(CM36="*",CN36="*",CO36="*")),1,IF(AND(CN35="*",OR(CM36="*",CN36="*",CO36="*")),1,IF(AND(CO35="*",OR(CM36="*",CN36="*",CO36="*")),1,"")))</f>
        <v/>
      </c>
      <c r="CV35" s="41" t="str">
        <f>IF(AND(CL35="*",CL36="*"),1,"")</f>
        <v/>
      </c>
      <c r="CX35" s="41"/>
      <c r="CY35" s="41"/>
      <c r="CZ35" s="41"/>
      <c r="DA35" s="41"/>
      <c r="DB35" s="41"/>
      <c r="DC35" s="41" t="str">
        <f>IF(AND(CX35="*",OR(CY36="*",CZ36="*",DA36="*")), 1,"")</f>
        <v/>
      </c>
      <c r="DD35" s="41" t="str">
        <f>IF(AND(CX35="*",DB36="*"),1,"")</f>
        <v/>
      </c>
      <c r="DE35" s="41" t="str">
        <f>IF(AND(DB36="*", OR(CY35="*", CZ35="*",DA35="*")),1,"")</f>
        <v/>
      </c>
      <c r="DF35" s="41" t="str">
        <f>IF(AND(CX36="*",OR(CY35="*",CZ35="*",DA35="*",DB35="*")),1,IF(AND(DB35="*",OR(CX36="*",CY36="*",CZ36="*",DA36="*")),1,""))</f>
        <v/>
      </c>
      <c r="DG35" s="41" t="str">
        <f>IF(AND(CY35="*",OR(CY36="*",CZ36="*",DA36="*")),1,IF(AND(CZ35="*",OR(CY36="*",CZ36="*",DA36="*")),1,IF(AND(DA35="*",OR(CY36="*",CZ36="*",DA36="*")),1,"")))</f>
        <v/>
      </c>
      <c r="DH35" s="41" t="str">
        <f>IF(AND(CX35="*",CX36="*"),1,"")</f>
        <v/>
      </c>
      <c r="DJ35" s="41"/>
      <c r="DK35" s="41"/>
      <c r="DL35" s="41"/>
      <c r="DM35" s="41"/>
      <c r="DN35" s="41"/>
      <c r="DO35" s="41" t="str">
        <f>IF(AND(DJ35="*",OR(DK36="*",DL36="*",DM36="*")), 1,"")</f>
        <v/>
      </c>
      <c r="DP35" s="41" t="str">
        <f>IF(AND(DJ35="*",DN36="*"),1,"")</f>
        <v/>
      </c>
      <c r="DQ35" s="41" t="str">
        <f>IF(AND(DN36="*", OR(DK35="*", DL35="*",DM35="*")),1,"")</f>
        <v/>
      </c>
      <c r="DR35" s="41" t="str">
        <f>IF(AND(DJ36="*",OR(DK35="*",DL35="*",DM35="*",DN35="*")),1,IF(AND(DN35="*",OR(DJ36="*",DK36="*",DL36="*",DM36="*")),1,""))</f>
        <v/>
      </c>
      <c r="DS35" s="41" t="str">
        <f>IF(AND(DK35="*",OR(DK36="*",DL36="*",DM36="*")),1,IF(AND(DL35="*",OR(DK36="*",DL36="*",DM36="*")),1,IF(AND(DM35="*",OR(DK36="*",DL36="*",DM36="*")),1,"")))</f>
        <v/>
      </c>
      <c r="DT35" s="41" t="str">
        <f>IF(AND(DJ35="*",DJ36="*"),1,"")</f>
        <v/>
      </c>
      <c r="DV35" s="41"/>
      <c r="DW35" s="41"/>
      <c r="DX35" s="41"/>
      <c r="DY35" s="41"/>
      <c r="DZ35" s="41"/>
      <c r="EA35" s="41" t="str">
        <f>IF(AND(DV35="*",OR(DW36="*",DX36="*",DY36="*")), 1,"")</f>
        <v/>
      </c>
      <c r="EB35" s="41" t="str">
        <f>IF(AND(DV35="*",DZ36="*"),1,"")</f>
        <v/>
      </c>
      <c r="EC35" s="41" t="str">
        <f>IF(AND(DZ36="*", OR(DW35="*", DX35="*",DY35="*")),1,"")</f>
        <v/>
      </c>
      <c r="ED35" s="41" t="str">
        <f>IF(AND(DV36="*",OR(DW35="*",DX35="*",DY35="*",DZ35="*")),1,IF(AND(DZ35="*",OR(DV36="*",DW36="*",DX36="*",DY36="*")),1,""))</f>
        <v/>
      </c>
      <c r="EE35" s="41" t="str">
        <f>IF(AND(DW35="*",OR(DW36="*",DX36="*",DY36="*")),1,IF(AND(DX35="*",OR(DW36="*",DX36="*",DY36="*")),1,IF(AND(DY35="*",OR(DW36="*",DX36="*",DY36="*")),1,"")))</f>
        <v/>
      </c>
      <c r="EF35" s="41" t="str">
        <f>IF(AND(DV35="*",DV36="*"),1,"")</f>
        <v/>
      </c>
      <c r="EH35" s="41"/>
      <c r="EI35" s="41"/>
      <c r="EJ35" s="41"/>
      <c r="EK35" s="41"/>
      <c r="EL35" s="41"/>
      <c r="EM35" s="41" t="str">
        <f>IF(AND(EH35="*",OR(EI36="*",EJ36="*",EK36="*")), 1,"")</f>
        <v/>
      </c>
      <c r="EN35" s="41" t="str">
        <f>IF(AND(EH35="*",EL36="*"),1,"")</f>
        <v/>
      </c>
      <c r="EO35" s="41" t="str">
        <f>IF(AND(EL36="*", OR(EI35="*", EJ35="*",EK35="*")),1,"")</f>
        <v/>
      </c>
      <c r="EP35" s="41" t="str">
        <f>IF(AND(EH36="*",OR(EI35="*",EJ35="*",EK35="*",EL35="*")),1,IF(AND(EL35="*",OR(EH36="*",EI36="*",EJ36="*",EK36="*")),1,""))</f>
        <v/>
      </c>
      <c r="EQ35" s="41" t="str">
        <f>IF(AND(EI35="*",OR(EI36="*",EJ36="*",EK36="*")),1,IF(AND(EJ35="*",OR(EI36="*",EJ36="*",EK36="*")),1,IF(AND(EK35="*",OR(EI36="*",EJ36="*",EK36="*")),1,"")))</f>
        <v/>
      </c>
      <c r="ER35" s="41" t="str">
        <f>IF(AND(EH35="*",EH36="*"),1,"")</f>
        <v/>
      </c>
      <c r="ET35" s="41"/>
      <c r="EU35" s="41"/>
      <c r="EV35" s="41"/>
      <c r="EW35" s="41"/>
      <c r="EX35" s="41"/>
      <c r="EY35" s="41" t="str">
        <f>IF(AND(ET35="*",OR(EU36="*",EV36="*",EW36="*")), 1,"")</f>
        <v/>
      </c>
      <c r="EZ35" s="41" t="str">
        <f>IF(AND(ET35="*",EX36="*"),1,"")</f>
        <v/>
      </c>
      <c r="FA35" s="41" t="str">
        <f>IF(AND(EX36="*", OR(EU35="*", EV35="*",EW35="*")),1,"")</f>
        <v/>
      </c>
      <c r="FB35" s="41" t="str">
        <f>IF(AND(ET36="*",OR(EU35="*",EV35="*",EW35="*",EX35="*")),1,IF(AND(EX35="*",OR(ET36="*",EU36="*",EV36="*",EW36="*")),1,""))</f>
        <v/>
      </c>
      <c r="FC35" s="41" t="str">
        <f>IF(AND(EU35="*",OR(EU36="*",EV36="*",EW36="*")),1,IF(AND(EV35="*",OR(EU36="*",EV36="*",EW36="*")),1,IF(AND(EW35="*",OR(EU36="*",EV36="*",EW36="*")),1,"")))</f>
        <v/>
      </c>
      <c r="FD35" s="41" t="str">
        <f>IF(AND(ET35="*",ET36="*"),1,"")</f>
        <v/>
      </c>
      <c r="FF35" s="41"/>
      <c r="FG35" s="41"/>
      <c r="FH35" s="41"/>
      <c r="FI35" s="41"/>
      <c r="FJ35" s="41"/>
      <c r="FK35" s="41" t="str">
        <f>IF(AND(FF35="*",OR(FG36="*",FH36="*",FI36="*")), 1,"")</f>
        <v/>
      </c>
      <c r="FL35" s="41" t="str">
        <f>IF(AND(FF35="*",FJ36="*"),1,"")</f>
        <v/>
      </c>
      <c r="FM35" s="41" t="str">
        <f>IF(AND(FJ36="*", OR(FG35="*", FH35="*",FI35="*")),1,"")</f>
        <v/>
      </c>
      <c r="FN35" s="41" t="str">
        <f>IF(AND(FF36="*",OR(FG35="*",FH35="*",FI35="*",FJ35="*")),1,IF(AND(FJ35="*",OR(FF36="*",FG36="*",FH36="*",FI36="*")),1,""))</f>
        <v/>
      </c>
      <c r="FO35" s="41" t="str">
        <f>IF(AND(FG35="*",OR(FG36="*",FH36="*",FI36="*")),1,IF(AND(FH35="*",OR(FG36="*",FH36="*",FI36="*")),1,IF(AND(FI35="*",OR(FG36="*",FH36="*",FI36="*")),1,"")))</f>
        <v/>
      </c>
      <c r="FP35" s="41" t="str">
        <f>IF(AND(FF35="*",FF36="*"),1,"")</f>
        <v/>
      </c>
      <c r="FR35" s="41"/>
      <c r="FS35" s="41"/>
      <c r="FT35" s="41"/>
      <c r="FU35" s="41"/>
      <c r="FV35" s="41"/>
      <c r="FW35" s="41" t="str">
        <f>IF(AND(FR35="*",OR(FS36="*",FT36="*",FU36="*")), 1,"")</f>
        <v/>
      </c>
      <c r="FX35" s="41" t="str">
        <f>IF(AND(FR35="*",FV36="*"),1,"")</f>
        <v/>
      </c>
      <c r="FY35" s="41" t="str">
        <f>IF(AND(FV36="*", OR(FS35="*", FT35="*",FU35="*")),1,"")</f>
        <v/>
      </c>
      <c r="FZ35" s="41" t="str">
        <f>IF(AND(FR36="*",OR(FS35="*",FT35="*",FU35="*",FV35="*")),1,IF(AND(FV35="*",OR(FR36="*",FS36="*",FT36="*",FU36="*")),1,""))</f>
        <v/>
      </c>
      <c r="GA35" s="41" t="str">
        <f>IF(AND(FS35="*",OR(FS36="*",FT36="*",FU36="*")),1,IF(AND(FT35="*",OR(FS36="*",FT36="*",FU36="*")),1,IF(AND(FU35="*",OR(FS36="*",FT36="*",FU36="*")),1,"")))</f>
        <v/>
      </c>
      <c r="GB35" s="41" t="str">
        <f>IF(AND(FR35="*",FR36="*"),1,"")</f>
        <v/>
      </c>
      <c r="GD35" s="41"/>
      <c r="GE35" s="41"/>
      <c r="GF35" s="41"/>
      <c r="GG35" s="41"/>
      <c r="GH35" s="41"/>
      <c r="GI35" s="41"/>
      <c r="GJ35" s="41" t="str">
        <f>IF(AND(GD35="*",OR(GE36="*",GF36="*",GG36="*")), 1,"")</f>
        <v/>
      </c>
      <c r="GK35" s="41" t="str">
        <f>IF(AND(GD35="*",GH36="*"),1,"")</f>
        <v/>
      </c>
      <c r="GL35" s="41" t="str">
        <f>IF(AND(GH36="*", OR(GE35="*", GF35="*",GG35="*")),1,"")</f>
        <v/>
      </c>
      <c r="GM35" s="41" t="str">
        <f>IF(AND(GD36="*",OR(GE35="*",GF35="*",GG35="*",GH35="*")),1,IF(AND(GH35="*",OR(GD36="*",GE36="*",GF36="*",GG36="*")),1,""))</f>
        <v/>
      </c>
      <c r="GN35" s="41" t="str">
        <f>IF(AND(GE35="*",OR(GE36="*",GF36="*",GG36="*")),1,IF(AND(GF35="*",OR(GE36="*",GF36="*",GG36="*")),1,IF(AND(GG35="*",OR(GE36="*",GF36="*",GG36="*")),1,"")))</f>
        <v/>
      </c>
      <c r="GO35" s="41" t="str">
        <f>IF(AND(GD35="*",GD36="*"),1,"")</f>
        <v/>
      </c>
      <c r="GQ35" s="41"/>
      <c r="GR35" s="41"/>
      <c r="GS35" s="41"/>
      <c r="GT35" s="41"/>
      <c r="GU35" s="41"/>
      <c r="GV35" s="41" t="str">
        <f>IF(AND(GQ35="*",OR(GR36="*",GS36="*",GT36="*")), 1,"")</f>
        <v/>
      </c>
      <c r="GW35" s="41" t="str">
        <f>IF(AND(GQ35="*",GU36="*"),1,"")</f>
        <v/>
      </c>
      <c r="GX35" s="41" t="str">
        <f>IF(AND(GU36="*", OR(GR35="*", GS35="*",GT35="*")),1,"")</f>
        <v/>
      </c>
      <c r="GY35" s="41" t="str">
        <f>IF(AND(GQ36="*",OR(GR35="*",GS35="*",GT35="*",GU35="*")),1,IF(AND(GU35="*",OR(GQ36="*",GR36="*",GS36="*",GT36="*")),1,""))</f>
        <v/>
      </c>
      <c r="GZ35" s="41" t="str">
        <f>IF(AND(GR35="*",OR(GR36="*",GS36="*",GT36="*")),1,IF(AND(GS35="*",OR(GR36="*",GS36="*",GT36="*")),1,IF(AND(GT35="*",OR(GR36="*",GS36="*",GT36="*")),1,"")))</f>
        <v/>
      </c>
      <c r="HA35" s="41" t="str">
        <f>IF(AND(GQ35="*",GQ36="*"),1,"")</f>
        <v/>
      </c>
      <c r="HC35" s="41"/>
      <c r="HD35" s="41"/>
      <c r="HE35" s="41"/>
      <c r="HF35" s="41"/>
      <c r="HG35" s="41"/>
      <c r="HH35" s="41" t="str">
        <f>IF(AND(HC35="*",OR(HD36="*",HE36="*",HF36="*")), 1,"")</f>
        <v/>
      </c>
      <c r="HI35" s="41" t="str">
        <f>IF(AND(HC35="*",HG36="*"),1,"")</f>
        <v/>
      </c>
      <c r="HJ35" s="41" t="str">
        <f>IF(AND(HG36="*", OR(HD35="*", HE35="*",HF35="*")),1,"")</f>
        <v/>
      </c>
      <c r="HK35" s="41" t="str">
        <f>IF(AND(HC36="*",OR(HD35="*",HE35="*",HF35="*",HG35="*")),1,IF(AND(HG35="*",OR(HC36="*",HD36="*",HE36="*",HF36="*")),1,""))</f>
        <v/>
      </c>
      <c r="HL35" s="41" t="str">
        <f>IF(AND(HD35="*",OR(HD36="*",HE36="*",HF36="*")),1,IF(AND(HE35="*",OR(HD36="*",HE36="*",HF36="*")),1,IF(AND(HF35="*",OR(HD36="*",HE36="*",HF36="*")),1,"")))</f>
        <v/>
      </c>
      <c r="HM35" s="41" t="str">
        <f>IF(AND(HC35="*",HC36="*"),1,"")</f>
        <v/>
      </c>
      <c r="HO35" s="41"/>
      <c r="HP35" s="41"/>
      <c r="HQ35" s="41"/>
      <c r="HR35" s="41"/>
      <c r="HS35" s="41"/>
      <c r="HT35" s="41" t="str">
        <f>IF(AND(HO35="*",OR(HP36="*",HQ36="*",HR36="*")), 1,"")</f>
        <v/>
      </c>
      <c r="HU35" s="41" t="str">
        <f>IF(AND(HO35="*",HS36="*"),1,"")</f>
        <v/>
      </c>
      <c r="HV35" s="41" t="str">
        <f>IF(AND(HS36="*", OR(HP35="*", HQ35="*",HR35="*")),1,"")</f>
        <v/>
      </c>
      <c r="HW35" s="41" t="str">
        <f>IF(AND(HO36="*",OR(HP35="*",HQ35="*",HR35="*",HS35="*")),1,IF(AND(HS35="*",OR(HO36="*",HP36="*",HQ36="*",HR36="*")),1,""))</f>
        <v/>
      </c>
      <c r="HX35" s="41" t="str">
        <f>IF(AND(HP35="*",OR(HP36="*",HQ36="*",HR36="*")),1,IF(AND(HQ35="*",OR(HP36="*",HQ36="*",HR36="*")),1,IF(AND(HR35="*",OR(HP36="*",HQ36="*",HR36="*")),1,"")))</f>
        <v/>
      </c>
      <c r="HY35" s="41" t="str">
        <f>IF(AND(HO35="*",HO36="*"),1,"")</f>
        <v/>
      </c>
      <c r="IA35" s="41"/>
      <c r="IB35" s="41"/>
      <c r="IC35" s="41"/>
      <c r="ID35" s="41"/>
      <c r="IE35" s="41"/>
      <c r="IF35" s="41" t="str">
        <f>IF(AND(IA35="*",OR(IB36="*",IC36="*",ID36="*")), 1,"")</f>
        <v/>
      </c>
      <c r="IG35" s="41" t="str">
        <f>IF(AND(IA35="*",IE36="*"),1,"")</f>
        <v/>
      </c>
      <c r="IH35" s="41" t="str">
        <f>IF(AND(IE36="*", OR(IB35="*", IC35="*",ID35="*")),1,"")</f>
        <v/>
      </c>
      <c r="II35" s="41" t="str">
        <f>IF(AND(IA36="*",OR(IB35="*",IC35="*",ID35="*",IE35="*")),1,IF(AND(IE35="*",OR(IA36="*",IB36="*",IC36="*",ID36="*")),1,""))</f>
        <v/>
      </c>
      <c r="IJ35" s="41" t="str">
        <f>IF(AND(IB35="*",OR(IB36="*",IC36="*",ID36="*")),1,IF(AND(IC35="*",OR(IB36="*",IC36="*",ID36="*")),1,IF(AND(ID35="*",OR(IB36="*",IC36="*",ID36="*")),1,"")))</f>
        <v/>
      </c>
      <c r="IK35" s="41" t="str">
        <f>IF(AND(IA35="*",IA36="*"),1,"")</f>
        <v/>
      </c>
      <c r="IL35" s="41">
        <f>COUNT(J35,V35,AH35,AT35,BF35,BS35,CE35,CQ35,DC35,DO35,EA35,EM35,EY35,FK35,FW35,GJ35,GV35,HH35,HT35,IF35)</f>
        <v>0</v>
      </c>
      <c r="IM35" s="41">
        <f t="shared" ref="IM35:IQ35" si="16">COUNT(K35,W35,AI35,AU35,BG35,BT35,CF35,CR35,DD35,DP35,EB35,EN35,EZ35,FL35,FX35,GK35,GW35,HI35,HU35,IG35)</f>
        <v>0</v>
      </c>
      <c r="IN35" s="41">
        <f t="shared" si="16"/>
        <v>0</v>
      </c>
      <c r="IO35" s="41">
        <f t="shared" si="16"/>
        <v>0</v>
      </c>
      <c r="IP35" s="41">
        <f t="shared" si="16"/>
        <v>0</v>
      </c>
      <c r="IQ35" s="41">
        <f t="shared" si="16"/>
        <v>0</v>
      </c>
    </row>
    <row r="36" spans="2:251" ht="15" customHeight="1" x14ac:dyDescent="0.4">
      <c r="B36" s="277"/>
      <c r="C36" s="279"/>
      <c r="D36" s="42" t="s">
        <v>68</v>
      </c>
      <c r="E36" s="41"/>
      <c r="F36" s="41"/>
      <c r="G36" s="41"/>
      <c r="H36" s="41"/>
      <c r="I36" s="41"/>
      <c r="J36" s="43"/>
      <c r="K36" s="43"/>
      <c r="L36" s="43"/>
      <c r="M36" s="43"/>
      <c r="N36" s="43"/>
      <c r="O36" s="43"/>
      <c r="Q36" s="41"/>
      <c r="R36" s="41"/>
      <c r="S36" s="41"/>
      <c r="T36" s="41"/>
      <c r="U36" s="41"/>
      <c r="V36" s="43"/>
      <c r="W36" s="43"/>
      <c r="X36" s="43"/>
      <c r="Y36" s="43"/>
      <c r="Z36" s="43"/>
      <c r="AA36" s="43"/>
      <c r="AC36" s="41"/>
      <c r="AD36" s="41"/>
      <c r="AE36" s="41"/>
      <c r="AF36" s="41"/>
      <c r="AG36" s="41"/>
      <c r="AH36" s="43"/>
      <c r="AI36" s="43"/>
      <c r="AJ36" s="43"/>
      <c r="AK36" s="43"/>
      <c r="AL36" s="43"/>
      <c r="AM36" s="43"/>
      <c r="AO36" s="41"/>
      <c r="AP36" s="41"/>
      <c r="AQ36" s="41"/>
      <c r="AR36" s="41"/>
      <c r="AS36" s="41"/>
      <c r="AT36" s="43"/>
      <c r="AU36" s="43"/>
      <c r="AV36" s="43"/>
      <c r="AW36" s="43"/>
      <c r="AX36" s="43"/>
      <c r="AY36" s="43"/>
      <c r="BA36" s="41"/>
      <c r="BB36" s="41"/>
      <c r="BC36" s="41"/>
      <c r="BD36" s="41"/>
      <c r="BE36" s="41"/>
      <c r="BF36" s="43"/>
      <c r="BG36" s="43"/>
      <c r="BH36" s="43"/>
      <c r="BI36" s="43"/>
      <c r="BJ36" s="43"/>
      <c r="BK36" s="43"/>
      <c r="BM36" s="41"/>
      <c r="BN36" s="41"/>
      <c r="BO36" s="41"/>
      <c r="BP36" s="41"/>
      <c r="BQ36" s="41"/>
      <c r="BR36" s="41"/>
      <c r="BS36" s="43"/>
      <c r="BT36" s="43"/>
      <c r="BU36" s="43"/>
      <c r="BV36" s="43"/>
      <c r="BW36" s="43"/>
      <c r="BX36" s="43"/>
      <c r="BZ36" s="41"/>
      <c r="CA36" s="41"/>
      <c r="CB36" s="41"/>
      <c r="CC36" s="41"/>
      <c r="CD36" s="41"/>
      <c r="CE36" s="43"/>
      <c r="CF36" s="43"/>
      <c r="CG36" s="43"/>
      <c r="CH36" s="43"/>
      <c r="CI36" s="43"/>
      <c r="CJ36" s="43"/>
      <c r="CL36" s="41"/>
      <c r="CM36" s="41"/>
      <c r="CN36" s="41"/>
      <c r="CO36" s="41"/>
      <c r="CP36" s="41"/>
      <c r="CQ36" s="43"/>
      <c r="CR36" s="43"/>
      <c r="CS36" s="43"/>
      <c r="CT36" s="43"/>
      <c r="CU36" s="43"/>
      <c r="CV36" s="43"/>
      <c r="CX36" s="41"/>
      <c r="CY36" s="41"/>
      <c r="CZ36" s="41"/>
      <c r="DA36" s="41"/>
      <c r="DB36" s="41"/>
      <c r="DC36" s="43"/>
      <c r="DD36" s="43"/>
      <c r="DE36" s="43"/>
      <c r="DF36" s="43"/>
      <c r="DG36" s="43"/>
      <c r="DH36" s="43"/>
      <c r="DJ36" s="41"/>
      <c r="DK36" s="41"/>
      <c r="DL36" s="41"/>
      <c r="DM36" s="41"/>
      <c r="DN36" s="41"/>
      <c r="DO36" s="43"/>
      <c r="DP36" s="43"/>
      <c r="DQ36" s="43"/>
      <c r="DR36" s="43"/>
      <c r="DS36" s="43"/>
      <c r="DT36" s="43"/>
      <c r="DV36" s="41"/>
      <c r="DW36" s="41"/>
      <c r="DX36" s="41"/>
      <c r="DY36" s="41"/>
      <c r="DZ36" s="41"/>
      <c r="EA36" s="43"/>
      <c r="EB36" s="43"/>
      <c r="EC36" s="43"/>
      <c r="ED36" s="43"/>
      <c r="EE36" s="43"/>
      <c r="EF36" s="43"/>
      <c r="EH36" s="41"/>
      <c r="EI36" s="41"/>
      <c r="EJ36" s="41"/>
      <c r="EK36" s="41"/>
      <c r="EL36" s="41"/>
      <c r="EM36" s="43"/>
      <c r="EN36" s="43"/>
      <c r="EO36" s="43"/>
      <c r="EP36" s="43"/>
      <c r="EQ36" s="43"/>
      <c r="ER36" s="43"/>
      <c r="ET36" s="41"/>
      <c r="EU36" s="41"/>
      <c r="EV36" s="41"/>
      <c r="EW36" s="41"/>
      <c r="EX36" s="41"/>
      <c r="EY36" s="43"/>
      <c r="EZ36" s="43"/>
      <c r="FA36" s="43"/>
      <c r="FB36" s="43"/>
      <c r="FC36" s="43"/>
      <c r="FD36" s="43"/>
      <c r="FF36" s="41"/>
      <c r="FG36" s="41"/>
      <c r="FH36" s="41"/>
      <c r="FI36" s="41"/>
      <c r="FJ36" s="41"/>
      <c r="FK36" s="43"/>
      <c r="FL36" s="43"/>
      <c r="FM36" s="43"/>
      <c r="FN36" s="43"/>
      <c r="FO36" s="43"/>
      <c r="FP36" s="43"/>
      <c r="FR36" s="41"/>
      <c r="FS36" s="41"/>
      <c r="FT36" s="41"/>
      <c r="FU36" s="41"/>
      <c r="FV36" s="41"/>
      <c r="FW36" s="43"/>
      <c r="FX36" s="43"/>
      <c r="FY36" s="43"/>
      <c r="FZ36" s="43"/>
      <c r="GA36" s="43"/>
      <c r="GB36" s="43"/>
      <c r="GD36" s="41"/>
      <c r="GE36" s="41"/>
      <c r="GF36" s="41"/>
      <c r="GG36" s="41"/>
      <c r="GH36" s="41"/>
      <c r="GI36" s="41"/>
      <c r="GJ36" s="43"/>
      <c r="GK36" s="43"/>
      <c r="GL36" s="43"/>
      <c r="GM36" s="43"/>
      <c r="GN36" s="43"/>
      <c r="GO36" s="43"/>
      <c r="GQ36" s="41"/>
      <c r="GR36" s="41"/>
      <c r="GS36" s="41"/>
      <c r="GT36" s="41"/>
      <c r="GU36" s="41"/>
      <c r="GV36" s="43"/>
      <c r="GW36" s="43"/>
      <c r="GX36" s="43"/>
      <c r="GY36" s="43"/>
      <c r="GZ36" s="43"/>
      <c r="HA36" s="43"/>
      <c r="HC36" s="41"/>
      <c r="HD36" s="41"/>
      <c r="HE36" s="41"/>
      <c r="HF36" s="41"/>
      <c r="HG36" s="41"/>
      <c r="HH36" s="43"/>
      <c r="HI36" s="43"/>
      <c r="HJ36" s="43"/>
      <c r="HK36" s="43"/>
      <c r="HL36" s="43"/>
      <c r="HM36" s="43"/>
      <c r="HO36" s="41"/>
      <c r="HP36" s="41"/>
      <c r="HQ36" s="41"/>
      <c r="HR36" s="41"/>
      <c r="HS36" s="41"/>
      <c r="HT36" s="43"/>
      <c r="HU36" s="43"/>
      <c r="HV36" s="43"/>
      <c r="HW36" s="43"/>
      <c r="HX36" s="43"/>
      <c r="HY36" s="43"/>
      <c r="IA36" s="41"/>
      <c r="IB36" s="41"/>
      <c r="IC36" s="41"/>
      <c r="ID36" s="41"/>
      <c r="IE36" s="41"/>
      <c r="IF36" s="43"/>
      <c r="IG36" s="43"/>
      <c r="IH36" s="43"/>
      <c r="II36" s="43"/>
      <c r="IJ36" s="43"/>
      <c r="IK36" s="43"/>
    </row>
    <row r="37" spans="2:251" ht="15" customHeight="1" x14ac:dyDescent="0.4">
      <c r="B37" s="273">
        <v>18</v>
      </c>
      <c r="C37" s="274">
        <f>고객요구사항도출표!C22</f>
        <v>0</v>
      </c>
      <c r="D37" s="40" t="s">
        <v>69</v>
      </c>
      <c r="E37" s="44"/>
      <c r="F37" s="44"/>
      <c r="G37" s="44"/>
      <c r="H37" s="44"/>
      <c r="I37" s="44"/>
      <c r="J37" s="44" t="str">
        <f>IF(AND(E37="*",OR(F38="*",G38="*",H38="*")), 1,"")</f>
        <v/>
      </c>
      <c r="K37" s="44" t="str">
        <f>IF(AND(E37="*",I38="*"),1,"")</f>
        <v/>
      </c>
      <c r="L37" s="44" t="str">
        <f>IF(AND(I38="*", OR(F37="*", G37="*",H37="*")),1,"")</f>
        <v/>
      </c>
      <c r="M37" s="44" t="str">
        <f>IF(AND(E38="*",OR(F37="*",G37="*",H37="*",I37="*")),1,IF(AND(I37="*",OR(E38="*",F38="*",G38="*",H38="*")),1,""))</f>
        <v/>
      </c>
      <c r="N37" s="44" t="str">
        <f>IF(AND(F37="*",OR(F38="*",G38="*",H38="*")),1,IF(AND(G37="*",OR(F38="*",G38="*",H38="*")),1,IF(AND(H37="*",OR(F38="*",G38="*",H38="*")),1,"")))</f>
        <v/>
      </c>
      <c r="O37" s="44" t="str">
        <f>IF(AND(E37="*",E38="*"),1,"")</f>
        <v/>
      </c>
      <c r="Q37" s="44"/>
      <c r="R37" s="44"/>
      <c r="S37" s="44"/>
      <c r="T37" s="44"/>
      <c r="U37" s="44"/>
      <c r="V37" s="44" t="str">
        <f>IF(AND(Q37="*",OR(R38="*",S38="*",T38="*")), 1,"")</f>
        <v/>
      </c>
      <c r="W37" s="44" t="str">
        <f>IF(AND(Q37="*",U38="*"),1,"")</f>
        <v/>
      </c>
      <c r="X37" s="44" t="str">
        <f>IF(AND(U38="*", OR(R37="*", S37="*",T37="*")),1,"")</f>
        <v/>
      </c>
      <c r="Y37" s="44" t="str">
        <f>IF(AND(Q38="*",OR(R37="*",S37="*",T37="*",U37="*")),1,IF(AND(U37="*",OR(Q38="*",R38="*",S38="*",T38="*")),1,""))</f>
        <v/>
      </c>
      <c r="Z37" s="44" t="str">
        <f>IF(AND(R37="*",OR(R38="*",S38="*",T38="*")),1,IF(AND(S37="*",OR(R38="*",S38="*",T38="*")),1,IF(AND(T37="*",OR(R38="*",S38="*",T38="*")),1,"")))</f>
        <v/>
      </c>
      <c r="AA37" s="44" t="str">
        <f>IF(AND(Q37="*",Q38="*"),1,"")</f>
        <v/>
      </c>
      <c r="AC37" s="44"/>
      <c r="AD37" s="44"/>
      <c r="AE37" s="44"/>
      <c r="AF37" s="44"/>
      <c r="AG37" s="44"/>
      <c r="AH37" s="44" t="str">
        <f>IF(AND(AC37="*",OR(AD38="*",AE38="*",AF38="*")), 1,"")</f>
        <v/>
      </c>
      <c r="AI37" s="44" t="str">
        <f>IF(AND(AC37="*",AG38="*"),1,"")</f>
        <v/>
      </c>
      <c r="AJ37" s="44" t="str">
        <f>IF(AND(AG38="*", OR(AD37="*", AE37="*",AF37="*")),1,"")</f>
        <v/>
      </c>
      <c r="AK37" s="44" t="str">
        <f>IF(AND(AC38="*",OR(AD37="*",AE37="*",AF37="*",AG37="*")),1,IF(AND(AG37="*",OR(AC38="*",AD38="*",AE38="*",AF38="*")),1,""))</f>
        <v/>
      </c>
      <c r="AL37" s="44" t="str">
        <f>IF(AND(AD37="*",OR(AD38="*",AE38="*",AF38="*")),1,IF(AND(AE37="*",OR(AD38="*",AE38="*",AF38="*")),1,IF(AND(AF37="*",OR(AD38="*",AE38="*",AF38="*")),1,"")))</f>
        <v/>
      </c>
      <c r="AM37" s="44" t="str">
        <f>IF(AND(AC37="*",AC38="*"),1,"")</f>
        <v/>
      </c>
      <c r="AO37" s="44"/>
      <c r="AP37" s="44"/>
      <c r="AQ37" s="44"/>
      <c r="AR37" s="44"/>
      <c r="AS37" s="44"/>
      <c r="AT37" s="44" t="str">
        <f>IF(AND(AO37="*",OR(AP38="*",AQ38="*",AR38="*")), 1,"")</f>
        <v/>
      </c>
      <c r="AU37" s="44" t="str">
        <f>IF(AND(AO37="*",AS38="*"),1,"")</f>
        <v/>
      </c>
      <c r="AV37" s="44" t="str">
        <f>IF(AND(AS38="*", OR(AP37="*", AQ37="*",AR37="*")),1,"")</f>
        <v/>
      </c>
      <c r="AW37" s="44" t="str">
        <f>IF(AND(AO38="*",OR(AP37="*",AQ37="*",AR37="*",AS37="*")),1,IF(AND(AS37="*",OR(AO38="*",AP38="*",AQ38="*",AR38="*")),1,""))</f>
        <v/>
      </c>
      <c r="AX37" s="44" t="str">
        <f>IF(AND(AP37="*",OR(AP38="*",AQ38="*",AR38="*")),1,IF(AND(AQ37="*",OR(AP38="*",AQ38="*",AR38="*")),1,IF(AND(AR37="*",OR(AP38="*",AQ38="*",AR38="*")),1,"")))</f>
        <v/>
      </c>
      <c r="AY37" s="44" t="str">
        <f>IF(AND(AO37="*",AO38="*"),1,"")</f>
        <v/>
      </c>
      <c r="BA37" s="44"/>
      <c r="BB37" s="44"/>
      <c r="BC37" s="44"/>
      <c r="BD37" s="44"/>
      <c r="BE37" s="44"/>
      <c r="BF37" s="44" t="str">
        <f>IF(AND(BA37="*",OR(BB38="*",BC38="*",BD38="*")), 1,"")</f>
        <v/>
      </c>
      <c r="BG37" s="44" t="str">
        <f>IF(AND(BA37="*",BE38="*"),1,"")</f>
        <v/>
      </c>
      <c r="BH37" s="44" t="str">
        <f>IF(AND(BE38="*", OR(BB37="*", BC37="*",BD37="*")),1,"")</f>
        <v/>
      </c>
      <c r="BI37" s="44" t="str">
        <f>IF(AND(BA38="*",OR(BB37="*",BC37="*",BD37="*",BE37="*")),1,IF(AND(BE37="*",OR(BA38="*",BB38="*",BC38="*",BD38="*")),1,""))</f>
        <v/>
      </c>
      <c r="BJ37" s="44" t="str">
        <f>IF(AND(BB37="*",OR(BB38="*",BC38="*",BD38="*")),1,IF(AND(BC37="*",OR(BB38="*",BC38="*",BD38="*")),1,IF(AND(BD37="*",OR(BB38="*",BC38="*",BD38="*")),1,"")))</f>
        <v/>
      </c>
      <c r="BK37" s="44" t="str">
        <f>IF(AND(BA37="*",BA38="*"),1,"")</f>
        <v/>
      </c>
      <c r="BM37" s="44"/>
      <c r="BN37" s="44"/>
      <c r="BO37" s="44"/>
      <c r="BP37" s="44"/>
      <c r="BQ37" s="44"/>
      <c r="BR37" s="44"/>
      <c r="BS37" s="44" t="str">
        <f>IF(AND(BM37="*",OR(BN38="*",BO38="*",BP38="*")), 1,"")</f>
        <v/>
      </c>
      <c r="BT37" s="44" t="str">
        <f>IF(AND(BM37="*",BQ38="*"),1,"")</f>
        <v/>
      </c>
      <c r="BU37" s="44" t="str">
        <f>IF(AND(BQ38="*", OR(BN37="*", BO37="*",BP37="*")),1,"")</f>
        <v/>
      </c>
      <c r="BV37" s="44" t="str">
        <f>IF(AND(BM38="*",OR(BN37="*",BO37="*",BP37="*",BQ37="*")),1,IF(AND(BQ37="*",OR(BM38="*",BN38="*",BO38="*",BP38="*")),1,""))</f>
        <v/>
      </c>
      <c r="BW37" s="44" t="str">
        <f>IF(AND(BN37="*",OR(BN38="*",BO38="*",BP38="*")),1,IF(AND(BO37="*",OR(BN38="*",BO38="*",BP38="*")),1,IF(AND(BP37="*",OR(BN38="*",BO38="*",BP38="*")),1,"")))</f>
        <v/>
      </c>
      <c r="BX37" s="44" t="str">
        <f>IF(AND(BM37="*",BM38="*"),1,"")</f>
        <v/>
      </c>
      <c r="BZ37" s="44"/>
      <c r="CA37" s="44"/>
      <c r="CB37" s="44"/>
      <c r="CC37" s="44"/>
      <c r="CD37" s="44"/>
      <c r="CE37" s="44" t="str">
        <f>IF(AND(BZ37="*",OR(CA38="*",CB38="*",CC38="*")), 1,"")</f>
        <v/>
      </c>
      <c r="CF37" s="44" t="str">
        <f>IF(AND(BZ37="*",CD38="*"),1,"")</f>
        <v/>
      </c>
      <c r="CG37" s="44" t="str">
        <f>IF(AND(CD38="*", OR(CA37="*", CB37="*",CC37="*")),1,"")</f>
        <v/>
      </c>
      <c r="CH37" s="44" t="str">
        <f>IF(AND(BZ38="*",OR(CA37="*",CB37="*",CC37="*",CD37="*")),1,IF(AND(CD37="*",OR(BZ38="*",CA38="*",CB38="*",CC38="*")),1,""))</f>
        <v/>
      </c>
      <c r="CI37" s="44" t="str">
        <f>IF(AND(CA37="*",OR(CA38="*",CB38="*",CC38="*")),1,IF(AND(CB37="*",OR(CA38="*",CB38="*",CC38="*")),1,IF(AND(CC37="*",OR(CA38="*",CB38="*",CC38="*")),1,"")))</f>
        <v/>
      </c>
      <c r="CJ37" s="44" t="str">
        <f>IF(AND(BZ37="*",BZ38="*"),1,"")</f>
        <v/>
      </c>
      <c r="CL37" s="44"/>
      <c r="CM37" s="44"/>
      <c r="CN37" s="44"/>
      <c r="CO37" s="44"/>
      <c r="CP37" s="44"/>
      <c r="CQ37" s="44" t="str">
        <f>IF(AND(CL37="*",OR(CM38="*",CN38="*",CO38="*")), 1,"")</f>
        <v/>
      </c>
      <c r="CR37" s="44" t="str">
        <f>IF(AND(CL37="*",CP38="*"),1,"")</f>
        <v/>
      </c>
      <c r="CS37" s="44" t="str">
        <f>IF(AND(CP38="*", OR(CM37="*", CN37="*",CO37="*")),1,"")</f>
        <v/>
      </c>
      <c r="CT37" s="44" t="str">
        <f>IF(AND(CL38="*",OR(CM37="*",CN37="*",CO37="*",CP37="*")),1,IF(AND(CP37="*",OR(CL38="*",CM38="*",CN38="*",CO38="*")),1,""))</f>
        <v/>
      </c>
      <c r="CU37" s="44" t="str">
        <f>IF(AND(CM37="*",OR(CM38="*",CN38="*",CO38="*")),1,IF(AND(CN37="*",OR(CM38="*",CN38="*",CO38="*")),1,IF(AND(CO37="*",OR(CM38="*",CN38="*",CO38="*")),1,"")))</f>
        <v/>
      </c>
      <c r="CV37" s="44" t="str">
        <f>IF(AND(CL37="*",CL38="*"),1,"")</f>
        <v/>
      </c>
      <c r="CX37" s="44"/>
      <c r="CY37" s="44"/>
      <c r="CZ37" s="44"/>
      <c r="DA37" s="44"/>
      <c r="DB37" s="44"/>
      <c r="DC37" s="44" t="str">
        <f>IF(AND(CX37="*",OR(CY38="*",CZ38="*",DA38="*")), 1,"")</f>
        <v/>
      </c>
      <c r="DD37" s="44" t="str">
        <f>IF(AND(CX37="*",DB38="*"),1,"")</f>
        <v/>
      </c>
      <c r="DE37" s="44" t="str">
        <f>IF(AND(DB38="*", OR(CY37="*", CZ37="*",DA37="*")),1,"")</f>
        <v/>
      </c>
      <c r="DF37" s="44" t="str">
        <f>IF(AND(CX38="*",OR(CY37="*",CZ37="*",DA37="*",DB37="*")),1,IF(AND(DB37="*",OR(CX38="*",CY38="*",CZ38="*",DA38="*")),1,""))</f>
        <v/>
      </c>
      <c r="DG37" s="44" t="str">
        <f>IF(AND(CY37="*",OR(CY38="*",CZ38="*",DA38="*")),1,IF(AND(CZ37="*",OR(CY38="*",CZ38="*",DA38="*")),1,IF(AND(DA37="*",OR(CY38="*",CZ38="*",DA38="*")),1,"")))</f>
        <v/>
      </c>
      <c r="DH37" s="44" t="str">
        <f>IF(AND(CX37="*",CX38="*"),1,"")</f>
        <v/>
      </c>
      <c r="DJ37" s="44"/>
      <c r="DK37" s="44"/>
      <c r="DL37" s="44"/>
      <c r="DM37" s="44"/>
      <c r="DN37" s="44"/>
      <c r="DO37" s="44" t="str">
        <f>IF(AND(DJ37="*",OR(DK38="*",DL38="*",DM38="*")), 1,"")</f>
        <v/>
      </c>
      <c r="DP37" s="44" t="str">
        <f>IF(AND(DJ37="*",DN38="*"),1,"")</f>
        <v/>
      </c>
      <c r="DQ37" s="44" t="str">
        <f>IF(AND(DN38="*", OR(DK37="*", DL37="*",DM37="*")),1,"")</f>
        <v/>
      </c>
      <c r="DR37" s="44" t="str">
        <f>IF(AND(DJ38="*",OR(DK37="*",DL37="*",DM37="*",DN37="*")),1,IF(AND(DN37="*",OR(DJ38="*",DK38="*",DL38="*",DM38="*")),1,""))</f>
        <v/>
      </c>
      <c r="DS37" s="44" t="str">
        <f>IF(AND(DK37="*",OR(DK38="*",DL38="*",DM38="*")),1,IF(AND(DL37="*",OR(DK38="*",DL38="*",DM38="*")),1,IF(AND(DM37="*",OR(DK38="*",DL38="*",DM38="*")),1,"")))</f>
        <v/>
      </c>
      <c r="DT37" s="44" t="str">
        <f>IF(AND(DJ37="*",DJ38="*"),1,"")</f>
        <v/>
      </c>
      <c r="DV37" s="44"/>
      <c r="DW37" s="44"/>
      <c r="DX37" s="44"/>
      <c r="DY37" s="44"/>
      <c r="DZ37" s="44"/>
      <c r="EA37" s="44" t="str">
        <f>IF(AND(DV37="*",OR(DW38="*",DX38="*",DY38="*")), 1,"")</f>
        <v/>
      </c>
      <c r="EB37" s="44" t="str">
        <f>IF(AND(DV37="*",DZ38="*"),1,"")</f>
        <v/>
      </c>
      <c r="EC37" s="44" t="str">
        <f>IF(AND(DZ38="*", OR(DW37="*", DX37="*",DY37="*")),1,"")</f>
        <v/>
      </c>
      <c r="ED37" s="44" t="str">
        <f>IF(AND(DV38="*",OR(DW37="*",DX37="*",DY37="*",DZ37="*")),1,IF(AND(DZ37="*",OR(DV38="*",DW38="*",DX38="*",DY38="*")),1,""))</f>
        <v/>
      </c>
      <c r="EE37" s="44" t="str">
        <f>IF(AND(DW37="*",OR(DW38="*",DX38="*",DY38="*")),1,IF(AND(DX37="*",OR(DW38="*",DX38="*",DY38="*")),1,IF(AND(DY37="*",OR(DW38="*",DX38="*",DY38="*")),1,"")))</f>
        <v/>
      </c>
      <c r="EF37" s="44" t="str">
        <f>IF(AND(DV37="*",DV38="*"),1,"")</f>
        <v/>
      </c>
      <c r="EH37" s="44"/>
      <c r="EI37" s="44"/>
      <c r="EJ37" s="44"/>
      <c r="EK37" s="44"/>
      <c r="EL37" s="44"/>
      <c r="EM37" s="44" t="str">
        <f>IF(AND(EH37="*",OR(EI38="*",EJ38="*",EK38="*")), 1,"")</f>
        <v/>
      </c>
      <c r="EN37" s="44" t="str">
        <f>IF(AND(EH37="*",EL38="*"),1,"")</f>
        <v/>
      </c>
      <c r="EO37" s="44" t="str">
        <f>IF(AND(EL38="*", OR(EI37="*", EJ37="*",EK37="*")),1,"")</f>
        <v/>
      </c>
      <c r="EP37" s="44" t="str">
        <f>IF(AND(EH38="*",OR(EI37="*",EJ37="*",EK37="*",EL37="*")),1,IF(AND(EL37="*",OR(EH38="*",EI38="*",EJ38="*",EK38="*")),1,""))</f>
        <v/>
      </c>
      <c r="EQ37" s="44" t="str">
        <f>IF(AND(EI37="*",OR(EI38="*",EJ38="*",EK38="*")),1,IF(AND(EJ37="*",OR(EI38="*",EJ38="*",EK38="*")),1,IF(AND(EK37="*",OR(EI38="*",EJ38="*",EK38="*")),1,"")))</f>
        <v/>
      </c>
      <c r="ER37" s="44" t="str">
        <f>IF(AND(EH37="*",EH38="*"),1,"")</f>
        <v/>
      </c>
      <c r="ET37" s="44"/>
      <c r="EU37" s="44"/>
      <c r="EV37" s="44"/>
      <c r="EW37" s="44"/>
      <c r="EX37" s="44"/>
      <c r="EY37" s="44" t="str">
        <f>IF(AND(ET37="*",OR(EU38="*",EV38="*",EW38="*")), 1,"")</f>
        <v/>
      </c>
      <c r="EZ37" s="44" t="str">
        <f>IF(AND(ET37="*",EX38="*"),1,"")</f>
        <v/>
      </c>
      <c r="FA37" s="44" t="str">
        <f>IF(AND(EX38="*", OR(EU37="*", EV37="*",EW37="*")),1,"")</f>
        <v/>
      </c>
      <c r="FB37" s="44" t="str">
        <f>IF(AND(ET38="*",OR(EU37="*",EV37="*",EW37="*",EX37="*")),1,IF(AND(EX37="*",OR(ET38="*",EU38="*",EV38="*",EW38="*")),1,""))</f>
        <v/>
      </c>
      <c r="FC37" s="44" t="str">
        <f>IF(AND(EU37="*",OR(EU38="*",EV38="*",EW38="*")),1,IF(AND(EV37="*",OR(EU38="*",EV38="*",EW38="*")),1,IF(AND(EW37="*",OR(EU38="*",EV38="*",EW38="*")),1,"")))</f>
        <v/>
      </c>
      <c r="FD37" s="44" t="str">
        <f>IF(AND(ET37="*",ET38="*"),1,"")</f>
        <v/>
      </c>
      <c r="FF37" s="44"/>
      <c r="FG37" s="44"/>
      <c r="FH37" s="44"/>
      <c r="FI37" s="44"/>
      <c r="FJ37" s="44"/>
      <c r="FK37" s="44" t="str">
        <f>IF(AND(FF37="*",OR(FG38="*",FH38="*",FI38="*")), 1,"")</f>
        <v/>
      </c>
      <c r="FL37" s="44" t="str">
        <f>IF(AND(FF37="*",FJ38="*"),1,"")</f>
        <v/>
      </c>
      <c r="FM37" s="44" t="str">
        <f>IF(AND(FJ38="*", OR(FG37="*", FH37="*",FI37="*")),1,"")</f>
        <v/>
      </c>
      <c r="FN37" s="44" t="str">
        <f>IF(AND(FF38="*",OR(FG37="*",FH37="*",FI37="*",FJ37="*")),1,IF(AND(FJ37="*",OR(FF38="*",FG38="*",FH38="*",FI38="*")),1,""))</f>
        <v/>
      </c>
      <c r="FO37" s="44" t="str">
        <f>IF(AND(FG37="*",OR(FG38="*",FH38="*",FI38="*")),1,IF(AND(FH37="*",OR(FG38="*",FH38="*",FI38="*")),1,IF(AND(FI37="*",OR(FG38="*",FH38="*",FI38="*")),1,"")))</f>
        <v/>
      </c>
      <c r="FP37" s="44" t="str">
        <f>IF(AND(FF37="*",FF38="*"),1,"")</f>
        <v/>
      </c>
      <c r="FR37" s="44"/>
      <c r="FS37" s="44"/>
      <c r="FT37" s="44"/>
      <c r="FU37" s="44"/>
      <c r="FV37" s="44"/>
      <c r="FW37" s="44" t="str">
        <f>IF(AND(FR37="*",OR(FS38="*",FT38="*",FU38="*")), 1,"")</f>
        <v/>
      </c>
      <c r="FX37" s="44" t="str">
        <f>IF(AND(FR37="*",FV38="*"),1,"")</f>
        <v/>
      </c>
      <c r="FY37" s="44" t="str">
        <f>IF(AND(FV38="*", OR(FS37="*", FT37="*",FU37="*")),1,"")</f>
        <v/>
      </c>
      <c r="FZ37" s="44" t="str">
        <f>IF(AND(FR38="*",OR(FS37="*",FT37="*",FU37="*",FV37="*")),1,IF(AND(FV37="*",OR(FR38="*",FS38="*",FT38="*",FU38="*")),1,""))</f>
        <v/>
      </c>
      <c r="GA37" s="44" t="str">
        <f>IF(AND(FS37="*",OR(FS38="*",FT38="*",FU38="*")),1,IF(AND(FT37="*",OR(FS38="*",FT38="*",FU38="*")),1,IF(AND(FU37="*",OR(FS38="*",FT38="*",FU38="*")),1,"")))</f>
        <v/>
      </c>
      <c r="GB37" s="44" t="str">
        <f>IF(AND(FR37="*",FR38="*"),1,"")</f>
        <v/>
      </c>
      <c r="GD37" s="44"/>
      <c r="GE37" s="44"/>
      <c r="GF37" s="44"/>
      <c r="GG37" s="44"/>
      <c r="GH37" s="44"/>
      <c r="GI37" s="44"/>
      <c r="GJ37" s="44" t="str">
        <f>IF(AND(GD37="*",OR(GE38="*",GF38="*",GG38="*")), 1,"")</f>
        <v/>
      </c>
      <c r="GK37" s="44" t="str">
        <f>IF(AND(GD37="*",GH38="*"),1,"")</f>
        <v/>
      </c>
      <c r="GL37" s="44" t="str">
        <f>IF(AND(GH38="*", OR(GE37="*", GF37="*",GG37="*")),1,"")</f>
        <v/>
      </c>
      <c r="GM37" s="44" t="str">
        <f>IF(AND(GD38="*",OR(GE37="*",GF37="*",GG37="*",GH37="*")),1,IF(AND(GH37="*",OR(GD38="*",GE38="*",GF38="*",GG38="*")),1,""))</f>
        <v/>
      </c>
      <c r="GN37" s="44" t="str">
        <f>IF(AND(GE37="*",OR(GE38="*",GF38="*",GG38="*")),1,IF(AND(GF37="*",OR(GE38="*",GF38="*",GG38="*")),1,IF(AND(GG37="*",OR(GE38="*",GF38="*",GG38="*")),1,"")))</f>
        <v/>
      </c>
      <c r="GO37" s="44" t="str">
        <f>IF(AND(GD37="*",GD38="*"),1,"")</f>
        <v/>
      </c>
      <c r="GQ37" s="44"/>
      <c r="GR37" s="44"/>
      <c r="GS37" s="44"/>
      <c r="GT37" s="44"/>
      <c r="GU37" s="44"/>
      <c r="GV37" s="44" t="str">
        <f>IF(AND(GQ37="*",OR(GR38="*",GS38="*",GT38="*")), 1,"")</f>
        <v/>
      </c>
      <c r="GW37" s="44" t="str">
        <f>IF(AND(GQ37="*",GU38="*"),1,"")</f>
        <v/>
      </c>
      <c r="GX37" s="44" t="str">
        <f>IF(AND(GU38="*", OR(GR37="*", GS37="*",GT37="*")),1,"")</f>
        <v/>
      </c>
      <c r="GY37" s="44" t="str">
        <f>IF(AND(GQ38="*",OR(GR37="*",GS37="*",GT37="*",GU37="*")),1,IF(AND(GU37="*",OR(GQ38="*",GR38="*",GS38="*",GT38="*")),1,""))</f>
        <v/>
      </c>
      <c r="GZ37" s="44" t="str">
        <f>IF(AND(GR37="*",OR(GR38="*",GS38="*",GT38="*")),1,IF(AND(GS37="*",OR(GR38="*",GS38="*",GT38="*")),1,IF(AND(GT37="*",OR(GR38="*",GS38="*",GT38="*")),1,"")))</f>
        <v/>
      </c>
      <c r="HA37" s="44" t="str">
        <f>IF(AND(GQ37="*",GQ38="*"),1,"")</f>
        <v/>
      </c>
      <c r="HC37" s="44"/>
      <c r="HD37" s="44"/>
      <c r="HE37" s="44"/>
      <c r="HF37" s="44"/>
      <c r="HG37" s="44"/>
      <c r="HH37" s="44" t="str">
        <f>IF(AND(HC37="*",OR(HD38="*",HE38="*",HF38="*")), 1,"")</f>
        <v/>
      </c>
      <c r="HI37" s="44" t="str">
        <f>IF(AND(HC37="*",HG38="*"),1,"")</f>
        <v/>
      </c>
      <c r="HJ37" s="44" t="str">
        <f>IF(AND(HG38="*", OR(HD37="*", HE37="*",HF37="*")),1,"")</f>
        <v/>
      </c>
      <c r="HK37" s="44" t="str">
        <f>IF(AND(HC38="*",OR(HD37="*",HE37="*",HF37="*",HG37="*")),1,IF(AND(HG37="*",OR(HC38="*",HD38="*",HE38="*",HF38="*")),1,""))</f>
        <v/>
      </c>
      <c r="HL37" s="44" t="str">
        <f>IF(AND(HD37="*",OR(HD38="*",HE38="*",HF38="*")),1,IF(AND(HE37="*",OR(HD38="*",HE38="*",HF38="*")),1,IF(AND(HF37="*",OR(HD38="*",HE38="*",HF38="*")),1,"")))</f>
        <v/>
      </c>
      <c r="HM37" s="44" t="str">
        <f>IF(AND(HC37="*",HC38="*"),1,"")</f>
        <v/>
      </c>
      <c r="HO37" s="44"/>
      <c r="HP37" s="44"/>
      <c r="HQ37" s="44"/>
      <c r="HR37" s="44"/>
      <c r="HS37" s="44"/>
      <c r="HT37" s="44" t="str">
        <f>IF(AND(HO37="*",OR(HP38="*",HQ38="*",HR38="*")), 1,"")</f>
        <v/>
      </c>
      <c r="HU37" s="44" t="str">
        <f>IF(AND(HO37="*",HS38="*"),1,"")</f>
        <v/>
      </c>
      <c r="HV37" s="44" t="str">
        <f>IF(AND(HS38="*", OR(HP37="*", HQ37="*",HR37="*")),1,"")</f>
        <v/>
      </c>
      <c r="HW37" s="44" t="str">
        <f>IF(AND(HO38="*",OR(HP37="*",HQ37="*",HR37="*",HS37="*")),1,IF(AND(HS37="*",OR(HO38="*",HP38="*",HQ38="*",HR38="*")),1,""))</f>
        <v/>
      </c>
      <c r="HX37" s="44" t="str">
        <f>IF(AND(HP37="*",OR(HP38="*",HQ38="*",HR38="*")),1,IF(AND(HQ37="*",OR(HP38="*",HQ38="*",HR38="*")),1,IF(AND(HR37="*",OR(HP38="*",HQ38="*",HR38="*")),1,"")))</f>
        <v/>
      </c>
      <c r="HY37" s="44" t="str">
        <f>IF(AND(HO37="*",HO38="*"),1,"")</f>
        <v/>
      </c>
      <c r="IA37" s="44"/>
      <c r="IB37" s="44"/>
      <c r="IC37" s="44"/>
      <c r="ID37" s="44"/>
      <c r="IE37" s="44"/>
      <c r="IF37" s="44" t="str">
        <f>IF(AND(IA37="*",OR(IB38="*",IC38="*",ID38="*")), 1,"")</f>
        <v/>
      </c>
      <c r="IG37" s="44" t="str">
        <f>IF(AND(IA37="*",IE38="*"),1,"")</f>
        <v/>
      </c>
      <c r="IH37" s="44" t="str">
        <f>IF(AND(IE38="*", OR(IB37="*", IC37="*",ID37="*")),1,"")</f>
        <v/>
      </c>
      <c r="II37" s="44" t="str">
        <f>IF(AND(IA38="*",OR(IB37="*",IC37="*",ID37="*",IE37="*")),1,IF(AND(IE37="*",OR(IA38="*",IB38="*",IC38="*",ID38="*")),1,""))</f>
        <v/>
      </c>
      <c r="IJ37" s="44" t="str">
        <f>IF(AND(IB37="*",OR(IB38="*",IC38="*",ID38="*")),1,IF(AND(IC37="*",OR(IB38="*",IC38="*",ID38="*")),1,IF(AND(ID37="*",OR(IB38="*",IC38="*",ID38="*")),1,"")))</f>
        <v/>
      </c>
      <c r="IK37" s="44" t="str">
        <f>IF(AND(IA37="*",IA38="*"),1,"")</f>
        <v/>
      </c>
      <c r="IL37" s="44">
        <f>COUNT(J37,V37,AH37,AT37,BF37,BS37,CE37,CQ37,DC37,DO37,EA37,EM37,EY37,FK37,FW37,GJ37,GV37,HH37,HT37,IF37)</f>
        <v>0</v>
      </c>
      <c r="IM37" s="44">
        <f t="shared" ref="IM37:IQ37" si="17">COUNT(K37,W37,AI37,AU37,BG37,BT37,CF37,CR37,DD37,DP37,EB37,EN37,EZ37,FL37,FX37,GK37,GW37,HI37,HU37,IG37)</f>
        <v>0</v>
      </c>
      <c r="IN37" s="44">
        <f t="shared" si="17"/>
        <v>0</v>
      </c>
      <c r="IO37" s="44">
        <f t="shared" si="17"/>
        <v>0</v>
      </c>
      <c r="IP37" s="44">
        <f t="shared" si="17"/>
        <v>0</v>
      </c>
      <c r="IQ37" s="44">
        <f t="shared" si="17"/>
        <v>0</v>
      </c>
    </row>
    <row r="38" spans="2:251" ht="15" customHeight="1" x14ac:dyDescent="0.4">
      <c r="B38" s="273"/>
      <c r="C38" s="275"/>
      <c r="D38" s="42" t="s">
        <v>70</v>
      </c>
      <c r="E38" s="44"/>
      <c r="F38" s="44"/>
      <c r="G38" s="44"/>
      <c r="H38" s="44"/>
      <c r="I38" s="44"/>
      <c r="J38" s="43"/>
      <c r="K38" s="43"/>
      <c r="L38" s="43"/>
      <c r="M38" s="43"/>
      <c r="N38" s="43"/>
      <c r="O38" s="43"/>
      <c r="Q38" s="44"/>
      <c r="R38" s="44"/>
      <c r="S38" s="44"/>
      <c r="T38" s="44"/>
      <c r="U38" s="44"/>
      <c r="V38" s="43"/>
      <c r="W38" s="43"/>
      <c r="X38" s="43"/>
      <c r="Y38" s="43"/>
      <c r="Z38" s="43"/>
      <c r="AA38" s="43"/>
      <c r="AC38" s="44"/>
      <c r="AD38" s="44"/>
      <c r="AE38" s="44"/>
      <c r="AF38" s="44"/>
      <c r="AG38" s="44"/>
      <c r="AH38" s="43"/>
      <c r="AI38" s="43"/>
      <c r="AJ38" s="43"/>
      <c r="AK38" s="43"/>
      <c r="AL38" s="43"/>
      <c r="AM38" s="43"/>
      <c r="AO38" s="44"/>
      <c r="AP38" s="44"/>
      <c r="AQ38" s="44"/>
      <c r="AR38" s="44"/>
      <c r="AS38" s="44"/>
      <c r="AT38" s="43"/>
      <c r="AU38" s="43"/>
      <c r="AV38" s="43"/>
      <c r="AW38" s="43"/>
      <c r="AX38" s="43"/>
      <c r="AY38" s="43"/>
      <c r="BA38" s="44"/>
      <c r="BB38" s="44"/>
      <c r="BC38" s="44"/>
      <c r="BD38" s="44"/>
      <c r="BE38" s="44"/>
      <c r="BF38" s="43"/>
      <c r="BG38" s="43"/>
      <c r="BH38" s="43"/>
      <c r="BI38" s="43"/>
      <c r="BJ38" s="43"/>
      <c r="BK38" s="43"/>
      <c r="BM38" s="44"/>
      <c r="BN38" s="44"/>
      <c r="BO38" s="44"/>
      <c r="BP38" s="44"/>
      <c r="BQ38" s="44"/>
      <c r="BR38" s="44"/>
      <c r="BS38" s="43"/>
      <c r="BT38" s="43"/>
      <c r="BU38" s="43"/>
      <c r="BV38" s="43"/>
      <c r="BW38" s="43"/>
      <c r="BX38" s="43"/>
      <c r="BZ38" s="44"/>
      <c r="CA38" s="44"/>
      <c r="CB38" s="44"/>
      <c r="CC38" s="44"/>
      <c r="CD38" s="44"/>
      <c r="CE38" s="43"/>
      <c r="CF38" s="43"/>
      <c r="CG38" s="43"/>
      <c r="CH38" s="43"/>
      <c r="CI38" s="43"/>
      <c r="CJ38" s="43"/>
      <c r="CL38" s="44"/>
      <c r="CM38" s="44"/>
      <c r="CN38" s="44"/>
      <c r="CO38" s="44"/>
      <c r="CP38" s="44"/>
      <c r="CQ38" s="43"/>
      <c r="CR38" s="43"/>
      <c r="CS38" s="43"/>
      <c r="CT38" s="43"/>
      <c r="CU38" s="43"/>
      <c r="CV38" s="43"/>
      <c r="CX38" s="44"/>
      <c r="CY38" s="44"/>
      <c r="CZ38" s="44"/>
      <c r="DA38" s="44"/>
      <c r="DB38" s="44"/>
      <c r="DC38" s="43"/>
      <c r="DD38" s="43"/>
      <c r="DE38" s="43"/>
      <c r="DF38" s="43"/>
      <c r="DG38" s="43"/>
      <c r="DH38" s="43"/>
      <c r="DJ38" s="44"/>
      <c r="DK38" s="44"/>
      <c r="DL38" s="44"/>
      <c r="DM38" s="44"/>
      <c r="DN38" s="44"/>
      <c r="DO38" s="43"/>
      <c r="DP38" s="43"/>
      <c r="DQ38" s="43"/>
      <c r="DR38" s="43"/>
      <c r="DS38" s="43"/>
      <c r="DT38" s="43"/>
      <c r="DV38" s="44"/>
      <c r="DW38" s="44"/>
      <c r="DX38" s="44"/>
      <c r="DY38" s="44"/>
      <c r="DZ38" s="44"/>
      <c r="EA38" s="43"/>
      <c r="EB38" s="43"/>
      <c r="EC38" s="43"/>
      <c r="ED38" s="43"/>
      <c r="EE38" s="43"/>
      <c r="EF38" s="43"/>
      <c r="EH38" s="44"/>
      <c r="EI38" s="44"/>
      <c r="EJ38" s="44"/>
      <c r="EK38" s="44"/>
      <c r="EL38" s="44"/>
      <c r="EM38" s="43"/>
      <c r="EN38" s="43"/>
      <c r="EO38" s="43"/>
      <c r="EP38" s="43"/>
      <c r="EQ38" s="43"/>
      <c r="ER38" s="43"/>
      <c r="ET38" s="44"/>
      <c r="EU38" s="44"/>
      <c r="EV38" s="44"/>
      <c r="EW38" s="44"/>
      <c r="EX38" s="44"/>
      <c r="EY38" s="43"/>
      <c r="EZ38" s="43"/>
      <c r="FA38" s="43"/>
      <c r="FB38" s="43"/>
      <c r="FC38" s="43"/>
      <c r="FD38" s="43"/>
      <c r="FF38" s="44"/>
      <c r="FG38" s="44"/>
      <c r="FH38" s="44"/>
      <c r="FI38" s="44"/>
      <c r="FJ38" s="44"/>
      <c r="FK38" s="43"/>
      <c r="FL38" s="43"/>
      <c r="FM38" s="43"/>
      <c r="FN38" s="43"/>
      <c r="FO38" s="43"/>
      <c r="FP38" s="43"/>
      <c r="FR38" s="44"/>
      <c r="FS38" s="44"/>
      <c r="FT38" s="44"/>
      <c r="FU38" s="44"/>
      <c r="FV38" s="44"/>
      <c r="FW38" s="43"/>
      <c r="FX38" s="43"/>
      <c r="FY38" s="43"/>
      <c r="FZ38" s="43"/>
      <c r="GA38" s="43"/>
      <c r="GB38" s="43"/>
      <c r="GD38" s="44"/>
      <c r="GE38" s="44"/>
      <c r="GF38" s="44"/>
      <c r="GG38" s="44"/>
      <c r="GH38" s="44"/>
      <c r="GI38" s="44"/>
      <c r="GJ38" s="43"/>
      <c r="GK38" s="43"/>
      <c r="GL38" s="43"/>
      <c r="GM38" s="43"/>
      <c r="GN38" s="43"/>
      <c r="GO38" s="43"/>
      <c r="GQ38" s="44"/>
      <c r="GR38" s="44"/>
      <c r="GS38" s="44"/>
      <c r="GT38" s="44"/>
      <c r="GU38" s="44"/>
      <c r="GV38" s="43"/>
      <c r="GW38" s="43"/>
      <c r="GX38" s="43"/>
      <c r="GY38" s="43"/>
      <c r="GZ38" s="43"/>
      <c r="HA38" s="43"/>
      <c r="HC38" s="44"/>
      <c r="HD38" s="44"/>
      <c r="HE38" s="44"/>
      <c r="HF38" s="44"/>
      <c r="HG38" s="44"/>
      <c r="HH38" s="43"/>
      <c r="HI38" s="43"/>
      <c r="HJ38" s="43"/>
      <c r="HK38" s="43"/>
      <c r="HL38" s="43"/>
      <c r="HM38" s="43"/>
      <c r="HO38" s="44"/>
      <c r="HP38" s="44"/>
      <c r="HQ38" s="44"/>
      <c r="HR38" s="44"/>
      <c r="HS38" s="44"/>
      <c r="HT38" s="43"/>
      <c r="HU38" s="43"/>
      <c r="HV38" s="43"/>
      <c r="HW38" s="43"/>
      <c r="HX38" s="43"/>
      <c r="HY38" s="43"/>
      <c r="IA38" s="44"/>
      <c r="IB38" s="44"/>
      <c r="IC38" s="44"/>
      <c r="ID38" s="44"/>
      <c r="IE38" s="44"/>
      <c r="IF38" s="43"/>
      <c r="IG38" s="43"/>
      <c r="IH38" s="43"/>
      <c r="II38" s="43"/>
      <c r="IJ38" s="43"/>
      <c r="IK38" s="43"/>
    </row>
    <row r="39" spans="2:251" ht="15" customHeight="1" x14ac:dyDescent="0.4">
      <c r="B39" s="276">
        <v>19</v>
      </c>
      <c r="C39" s="278">
        <f>고객요구사항도출표!C23</f>
        <v>0</v>
      </c>
      <c r="D39" s="40" t="s">
        <v>71</v>
      </c>
      <c r="E39" s="41"/>
      <c r="F39" s="41"/>
      <c r="G39" s="41"/>
      <c r="H39" s="41"/>
      <c r="I39" s="41"/>
      <c r="J39" s="41" t="str">
        <f>IF(AND(E39="*",OR(F40="*",G40="*",H40="*")), 1,"")</f>
        <v/>
      </c>
      <c r="K39" s="41" t="str">
        <f>IF(AND(E39="*",I40="*"),1,"")</f>
        <v/>
      </c>
      <c r="L39" s="41" t="str">
        <f>IF(AND(I40="*", OR(F39="*", G39="*",H39="*")),1,"")</f>
        <v/>
      </c>
      <c r="M39" s="41" t="str">
        <f>IF(AND(E40="*",OR(F39="*",G39="*",H39="*",I39="*")),1,IF(AND(I39="*",OR(E40="*",F40="*",G40="*",H40="*")),1,""))</f>
        <v/>
      </c>
      <c r="N39" s="41" t="str">
        <f>IF(AND(F39="*",OR(F40="*",G40="*",H40="*")),1,IF(AND(G39="*",OR(F40="*",G40="*",H40="*")),1,IF(AND(H39="*",OR(F40="*",G40="*",H40="*")),1,"")))</f>
        <v/>
      </c>
      <c r="O39" s="41" t="str">
        <f>IF(AND(E39="*",E40="*"),1,"")</f>
        <v/>
      </c>
      <c r="Q39" s="41"/>
      <c r="R39" s="41"/>
      <c r="S39" s="41"/>
      <c r="T39" s="41"/>
      <c r="U39" s="41"/>
      <c r="V39" s="41" t="str">
        <f>IF(AND(Q39="*",OR(R40="*",S40="*",T40="*")), 1,"")</f>
        <v/>
      </c>
      <c r="W39" s="41" t="str">
        <f>IF(AND(Q39="*",U40="*"),1,"")</f>
        <v/>
      </c>
      <c r="X39" s="41" t="str">
        <f>IF(AND(U40="*", OR(R39="*", S39="*",T39="*")),1,"")</f>
        <v/>
      </c>
      <c r="Y39" s="41" t="str">
        <f>IF(AND(Q40="*",OR(R39="*",S39="*",T39="*",U39="*")),1,IF(AND(U39="*",OR(Q40="*",R40="*",S40="*",T40="*")),1,""))</f>
        <v/>
      </c>
      <c r="Z39" s="41" t="str">
        <f>IF(AND(R39="*",OR(R40="*",S40="*",T40="*")),1,IF(AND(S39="*",OR(R40="*",S40="*",T40="*")),1,IF(AND(T39="*",OR(R40="*",S40="*",T40="*")),1,"")))</f>
        <v/>
      </c>
      <c r="AA39" s="41" t="str">
        <f>IF(AND(Q39="*",Q40="*"),1,"")</f>
        <v/>
      </c>
      <c r="AC39" s="41"/>
      <c r="AD39" s="41"/>
      <c r="AE39" s="41"/>
      <c r="AF39" s="41"/>
      <c r="AG39" s="41"/>
      <c r="AH39" s="41" t="str">
        <f>IF(AND(AC39="*",OR(AD40="*",AE40="*",AF40="*")), 1,"")</f>
        <v/>
      </c>
      <c r="AI39" s="41" t="str">
        <f>IF(AND(AC39="*",AG40="*"),1,"")</f>
        <v/>
      </c>
      <c r="AJ39" s="41" t="str">
        <f>IF(AND(AG40="*", OR(AD39="*", AE39="*",AF39="*")),1,"")</f>
        <v/>
      </c>
      <c r="AK39" s="41" t="str">
        <f>IF(AND(AC40="*",OR(AD39="*",AE39="*",AF39="*",AG39="*")),1,IF(AND(AG39="*",OR(AC40="*",AD40="*",AE40="*",AF40="*")),1,""))</f>
        <v/>
      </c>
      <c r="AL39" s="41" t="str">
        <f>IF(AND(AD39="*",OR(AD40="*",AE40="*",AF40="*")),1,IF(AND(AE39="*",OR(AD40="*",AE40="*",AF40="*")),1,IF(AND(AF39="*",OR(AD40="*",AE40="*",AF40="*")),1,"")))</f>
        <v/>
      </c>
      <c r="AM39" s="41" t="str">
        <f>IF(AND(AC39="*",AC40="*"),1,"")</f>
        <v/>
      </c>
      <c r="AO39" s="41"/>
      <c r="AP39" s="41"/>
      <c r="AQ39" s="41"/>
      <c r="AR39" s="41"/>
      <c r="AS39" s="41"/>
      <c r="AT39" s="41" t="str">
        <f>IF(AND(AO39="*",OR(AP40="*",AQ40="*",AR40="*")), 1,"")</f>
        <v/>
      </c>
      <c r="AU39" s="41" t="str">
        <f>IF(AND(AO39="*",AS40="*"),1,"")</f>
        <v/>
      </c>
      <c r="AV39" s="41" t="str">
        <f>IF(AND(AS40="*", OR(AP39="*", AQ39="*",AR39="*")),1,"")</f>
        <v/>
      </c>
      <c r="AW39" s="41" t="str">
        <f>IF(AND(AO40="*",OR(AP39="*",AQ39="*",AR39="*",AS39="*")),1,IF(AND(AS39="*",OR(AO40="*",AP40="*",AQ40="*",AR40="*")),1,""))</f>
        <v/>
      </c>
      <c r="AX39" s="41" t="str">
        <f>IF(AND(AP39="*",OR(AP40="*",AQ40="*",AR40="*")),1,IF(AND(AQ39="*",OR(AP40="*",AQ40="*",AR40="*")),1,IF(AND(AR39="*",OR(AP40="*",AQ40="*",AR40="*")),1,"")))</f>
        <v/>
      </c>
      <c r="AY39" s="41" t="str">
        <f>IF(AND(AO39="*",AO40="*"),1,"")</f>
        <v/>
      </c>
      <c r="BA39" s="41"/>
      <c r="BB39" s="41"/>
      <c r="BC39" s="41"/>
      <c r="BD39" s="41"/>
      <c r="BE39" s="41"/>
      <c r="BF39" s="41" t="str">
        <f>IF(AND(BA39="*",OR(BB40="*",BC40="*",BD40="*")), 1,"")</f>
        <v/>
      </c>
      <c r="BG39" s="41" t="str">
        <f>IF(AND(BA39="*",BE40="*"),1,"")</f>
        <v/>
      </c>
      <c r="BH39" s="41" t="str">
        <f>IF(AND(BE40="*", OR(BB39="*", BC39="*",BD39="*")),1,"")</f>
        <v/>
      </c>
      <c r="BI39" s="41" t="str">
        <f>IF(AND(BA40="*",OR(BB39="*",BC39="*",BD39="*",BE39="*")),1,IF(AND(BE39="*",OR(BA40="*",BB40="*",BC40="*",BD40="*")),1,""))</f>
        <v/>
      </c>
      <c r="BJ39" s="41" t="str">
        <f>IF(AND(BB39="*",OR(BB40="*",BC40="*",BD40="*")),1,IF(AND(BC39="*",OR(BB40="*",BC40="*",BD40="*")),1,IF(AND(BD39="*",OR(BB40="*",BC40="*",BD40="*")),1,"")))</f>
        <v/>
      </c>
      <c r="BK39" s="41" t="str">
        <f>IF(AND(BA39="*",BA40="*"),1,"")</f>
        <v/>
      </c>
      <c r="BM39" s="41"/>
      <c r="BN39" s="41"/>
      <c r="BO39" s="41"/>
      <c r="BP39" s="41"/>
      <c r="BQ39" s="41"/>
      <c r="BR39" s="41"/>
      <c r="BS39" s="41" t="str">
        <f>IF(AND(BM39="*",OR(BN40="*",BO40="*",BP40="*")), 1,"")</f>
        <v/>
      </c>
      <c r="BT39" s="41" t="str">
        <f>IF(AND(BM39="*",BQ40="*"),1,"")</f>
        <v/>
      </c>
      <c r="BU39" s="41" t="str">
        <f>IF(AND(BQ40="*", OR(BN39="*", BO39="*",BP39="*")),1,"")</f>
        <v/>
      </c>
      <c r="BV39" s="41" t="str">
        <f>IF(AND(BM40="*",OR(BN39="*",BO39="*",BP39="*",BQ39="*")),1,IF(AND(BQ39="*",OR(BM40="*",BN40="*",BO40="*",BP40="*")),1,""))</f>
        <v/>
      </c>
      <c r="BW39" s="41" t="str">
        <f>IF(AND(BN39="*",OR(BN40="*",BO40="*",BP40="*")),1,IF(AND(BO39="*",OR(BN40="*",BO40="*",BP40="*")),1,IF(AND(BP39="*",OR(BN40="*",BO40="*",BP40="*")),1,"")))</f>
        <v/>
      </c>
      <c r="BX39" s="41" t="str">
        <f>IF(AND(BM39="*",BM40="*"),1,"")</f>
        <v/>
      </c>
      <c r="BZ39" s="41"/>
      <c r="CA39" s="41"/>
      <c r="CB39" s="41"/>
      <c r="CC39" s="41"/>
      <c r="CD39" s="41"/>
      <c r="CE39" s="41" t="str">
        <f>IF(AND(BZ39="*",OR(CA40="*",CB40="*",CC40="*")), 1,"")</f>
        <v/>
      </c>
      <c r="CF39" s="41" t="str">
        <f>IF(AND(BZ39="*",CD40="*"),1,"")</f>
        <v/>
      </c>
      <c r="CG39" s="41" t="str">
        <f>IF(AND(CD40="*", OR(CA39="*", CB39="*",CC39="*")),1,"")</f>
        <v/>
      </c>
      <c r="CH39" s="41" t="str">
        <f>IF(AND(BZ40="*",OR(CA39="*",CB39="*",CC39="*",CD39="*")),1,IF(AND(CD39="*",OR(BZ40="*",CA40="*",CB40="*",CC40="*")),1,""))</f>
        <v/>
      </c>
      <c r="CI39" s="41" t="str">
        <f>IF(AND(CA39="*",OR(CA40="*",CB40="*",CC40="*")),1,IF(AND(CB39="*",OR(CA40="*",CB40="*",CC40="*")),1,IF(AND(CC39="*",OR(CA40="*",CB40="*",CC40="*")),1,"")))</f>
        <v/>
      </c>
      <c r="CJ39" s="41" t="str">
        <f>IF(AND(BZ39="*",BZ40="*"),1,"")</f>
        <v/>
      </c>
      <c r="CL39" s="41"/>
      <c r="CM39" s="41"/>
      <c r="CN39" s="41"/>
      <c r="CO39" s="41"/>
      <c r="CP39" s="41"/>
      <c r="CQ39" s="41" t="str">
        <f>IF(AND(CL39="*",OR(CM40="*",CN40="*",CO40="*")), 1,"")</f>
        <v/>
      </c>
      <c r="CR39" s="41" t="str">
        <f>IF(AND(CL39="*",CP40="*"),1,"")</f>
        <v/>
      </c>
      <c r="CS39" s="41" t="str">
        <f>IF(AND(CP40="*", OR(CM39="*", CN39="*",CO39="*")),1,"")</f>
        <v/>
      </c>
      <c r="CT39" s="41" t="str">
        <f>IF(AND(CL40="*",OR(CM39="*",CN39="*",CO39="*",CP39="*")),1,IF(AND(CP39="*",OR(CL40="*",CM40="*",CN40="*",CO40="*")),1,""))</f>
        <v/>
      </c>
      <c r="CU39" s="41" t="str">
        <f>IF(AND(CM39="*",OR(CM40="*",CN40="*",CO40="*")),1,IF(AND(CN39="*",OR(CM40="*",CN40="*",CO40="*")),1,IF(AND(CO39="*",OR(CM40="*",CN40="*",CO40="*")),1,"")))</f>
        <v/>
      </c>
      <c r="CV39" s="41" t="str">
        <f>IF(AND(CL39="*",CL40="*"),1,"")</f>
        <v/>
      </c>
      <c r="CX39" s="41"/>
      <c r="CY39" s="41"/>
      <c r="CZ39" s="41"/>
      <c r="DA39" s="41"/>
      <c r="DB39" s="41"/>
      <c r="DC39" s="41" t="str">
        <f>IF(AND(CX39="*",OR(CY40="*",CZ40="*",DA40="*")), 1,"")</f>
        <v/>
      </c>
      <c r="DD39" s="41" t="str">
        <f>IF(AND(CX39="*",DB40="*"),1,"")</f>
        <v/>
      </c>
      <c r="DE39" s="41" t="str">
        <f>IF(AND(DB40="*", OR(CY39="*", CZ39="*",DA39="*")),1,"")</f>
        <v/>
      </c>
      <c r="DF39" s="41" t="str">
        <f>IF(AND(CX40="*",OR(CY39="*",CZ39="*",DA39="*",DB39="*")),1,IF(AND(DB39="*",OR(CX40="*",CY40="*",CZ40="*",DA40="*")),1,""))</f>
        <v/>
      </c>
      <c r="DG39" s="41" t="str">
        <f>IF(AND(CY39="*",OR(CY40="*",CZ40="*",DA40="*")),1,IF(AND(CZ39="*",OR(CY40="*",CZ40="*",DA40="*")),1,IF(AND(DA39="*",OR(CY40="*",CZ40="*",DA40="*")),1,"")))</f>
        <v/>
      </c>
      <c r="DH39" s="41" t="str">
        <f>IF(AND(CX39="*",CX40="*"),1,"")</f>
        <v/>
      </c>
      <c r="DJ39" s="41"/>
      <c r="DK39" s="41"/>
      <c r="DL39" s="41"/>
      <c r="DM39" s="41"/>
      <c r="DN39" s="41"/>
      <c r="DO39" s="41" t="str">
        <f>IF(AND(DJ39="*",OR(DK40="*",DL40="*",DM40="*")), 1,"")</f>
        <v/>
      </c>
      <c r="DP39" s="41" t="str">
        <f>IF(AND(DJ39="*",DN40="*"),1,"")</f>
        <v/>
      </c>
      <c r="DQ39" s="41" t="str">
        <f>IF(AND(DN40="*", OR(DK39="*", DL39="*",DM39="*")),1,"")</f>
        <v/>
      </c>
      <c r="DR39" s="41" t="str">
        <f>IF(AND(DJ40="*",OR(DK39="*",DL39="*",DM39="*",DN39="*")),1,IF(AND(DN39="*",OR(DJ40="*",DK40="*",DL40="*",DM40="*")),1,""))</f>
        <v/>
      </c>
      <c r="DS39" s="41" t="str">
        <f>IF(AND(DK39="*",OR(DK40="*",DL40="*",DM40="*")),1,IF(AND(DL39="*",OR(DK40="*",DL40="*",DM40="*")),1,IF(AND(DM39="*",OR(DK40="*",DL40="*",DM40="*")),1,"")))</f>
        <v/>
      </c>
      <c r="DT39" s="41" t="str">
        <f>IF(AND(DJ39="*",DJ40="*"),1,"")</f>
        <v/>
      </c>
      <c r="DV39" s="41"/>
      <c r="DW39" s="41"/>
      <c r="DX39" s="41"/>
      <c r="DY39" s="41"/>
      <c r="DZ39" s="41"/>
      <c r="EA39" s="41" t="str">
        <f>IF(AND(DV39="*",OR(DW40="*",DX40="*",DY40="*")), 1,"")</f>
        <v/>
      </c>
      <c r="EB39" s="41" t="str">
        <f>IF(AND(DV39="*",DZ40="*"),1,"")</f>
        <v/>
      </c>
      <c r="EC39" s="41" t="str">
        <f>IF(AND(DZ40="*", OR(DW39="*", DX39="*",DY39="*")),1,"")</f>
        <v/>
      </c>
      <c r="ED39" s="41" t="str">
        <f>IF(AND(DV40="*",OR(DW39="*",DX39="*",DY39="*",DZ39="*")),1,IF(AND(DZ39="*",OR(DV40="*",DW40="*",DX40="*",DY40="*")),1,""))</f>
        <v/>
      </c>
      <c r="EE39" s="41" t="str">
        <f>IF(AND(DW39="*",OR(DW40="*",DX40="*",DY40="*")),1,IF(AND(DX39="*",OR(DW40="*",DX40="*",DY40="*")),1,IF(AND(DY39="*",OR(DW40="*",DX40="*",DY40="*")),1,"")))</f>
        <v/>
      </c>
      <c r="EF39" s="41" t="str">
        <f>IF(AND(DV39="*",DV40="*"),1,"")</f>
        <v/>
      </c>
      <c r="EH39" s="41"/>
      <c r="EI39" s="41"/>
      <c r="EJ39" s="41"/>
      <c r="EK39" s="41"/>
      <c r="EL39" s="41"/>
      <c r="EM39" s="41" t="str">
        <f>IF(AND(EH39="*",OR(EI40="*",EJ40="*",EK40="*")), 1,"")</f>
        <v/>
      </c>
      <c r="EN39" s="41" t="str">
        <f>IF(AND(EH39="*",EL40="*"),1,"")</f>
        <v/>
      </c>
      <c r="EO39" s="41" t="str">
        <f>IF(AND(EL40="*", OR(EI39="*", EJ39="*",EK39="*")),1,"")</f>
        <v/>
      </c>
      <c r="EP39" s="41" t="str">
        <f>IF(AND(EH40="*",OR(EI39="*",EJ39="*",EK39="*",EL39="*")),1,IF(AND(EL39="*",OR(EH40="*",EI40="*",EJ40="*",EK40="*")),1,""))</f>
        <v/>
      </c>
      <c r="EQ39" s="41" t="str">
        <f>IF(AND(EI39="*",OR(EI40="*",EJ40="*",EK40="*")),1,IF(AND(EJ39="*",OR(EI40="*",EJ40="*",EK40="*")),1,IF(AND(EK39="*",OR(EI40="*",EJ40="*",EK40="*")),1,"")))</f>
        <v/>
      </c>
      <c r="ER39" s="41" t="str">
        <f>IF(AND(EH39="*",EH40="*"),1,"")</f>
        <v/>
      </c>
      <c r="ET39" s="41"/>
      <c r="EU39" s="41"/>
      <c r="EV39" s="41"/>
      <c r="EW39" s="41"/>
      <c r="EX39" s="41"/>
      <c r="EY39" s="41" t="str">
        <f>IF(AND(ET39="*",OR(EU40="*",EV40="*",EW40="*")), 1,"")</f>
        <v/>
      </c>
      <c r="EZ39" s="41" t="str">
        <f>IF(AND(ET39="*",EX40="*"),1,"")</f>
        <v/>
      </c>
      <c r="FA39" s="41" t="str">
        <f>IF(AND(EX40="*", OR(EU39="*", EV39="*",EW39="*")),1,"")</f>
        <v/>
      </c>
      <c r="FB39" s="41" t="str">
        <f>IF(AND(ET40="*",OR(EU39="*",EV39="*",EW39="*",EX39="*")),1,IF(AND(EX39="*",OR(ET40="*",EU40="*",EV40="*",EW40="*")),1,""))</f>
        <v/>
      </c>
      <c r="FC39" s="41" t="str">
        <f>IF(AND(EU39="*",OR(EU40="*",EV40="*",EW40="*")),1,IF(AND(EV39="*",OR(EU40="*",EV40="*",EW40="*")),1,IF(AND(EW39="*",OR(EU40="*",EV40="*",EW40="*")),1,"")))</f>
        <v/>
      </c>
      <c r="FD39" s="41" t="str">
        <f>IF(AND(ET39="*",ET40="*"),1,"")</f>
        <v/>
      </c>
      <c r="FF39" s="41"/>
      <c r="FG39" s="41"/>
      <c r="FH39" s="41"/>
      <c r="FI39" s="41"/>
      <c r="FJ39" s="41"/>
      <c r="FK39" s="41" t="str">
        <f>IF(AND(FF39="*",OR(FG40="*",FH40="*",FI40="*")), 1,"")</f>
        <v/>
      </c>
      <c r="FL39" s="41" t="str">
        <f>IF(AND(FF39="*",FJ40="*"),1,"")</f>
        <v/>
      </c>
      <c r="FM39" s="41" t="str">
        <f>IF(AND(FJ40="*", OR(FG39="*", FH39="*",FI39="*")),1,"")</f>
        <v/>
      </c>
      <c r="FN39" s="41" t="str">
        <f>IF(AND(FF40="*",OR(FG39="*",FH39="*",FI39="*",FJ39="*")),1,IF(AND(FJ39="*",OR(FF40="*",FG40="*",FH40="*",FI40="*")),1,""))</f>
        <v/>
      </c>
      <c r="FO39" s="41" t="str">
        <f>IF(AND(FG39="*",OR(FG40="*",FH40="*",FI40="*")),1,IF(AND(FH39="*",OR(FG40="*",FH40="*",FI40="*")),1,IF(AND(FI39="*",OR(FG40="*",FH40="*",FI40="*")),1,"")))</f>
        <v/>
      </c>
      <c r="FP39" s="41" t="str">
        <f>IF(AND(FF39="*",FF40="*"),1,"")</f>
        <v/>
      </c>
      <c r="FR39" s="41"/>
      <c r="FS39" s="41"/>
      <c r="FT39" s="41"/>
      <c r="FU39" s="41"/>
      <c r="FV39" s="41"/>
      <c r="FW39" s="41" t="str">
        <f>IF(AND(FR39="*",OR(FS40="*",FT40="*",FU40="*")), 1,"")</f>
        <v/>
      </c>
      <c r="FX39" s="41" t="str">
        <f>IF(AND(FR39="*",FV40="*"),1,"")</f>
        <v/>
      </c>
      <c r="FY39" s="41" t="str">
        <f>IF(AND(FV40="*", OR(FS39="*", FT39="*",FU39="*")),1,"")</f>
        <v/>
      </c>
      <c r="FZ39" s="41" t="str">
        <f>IF(AND(FR40="*",OR(FS39="*",FT39="*",FU39="*",FV39="*")),1,IF(AND(FV39="*",OR(FR40="*",FS40="*",FT40="*",FU40="*")),1,""))</f>
        <v/>
      </c>
      <c r="GA39" s="41" t="str">
        <f>IF(AND(FS39="*",OR(FS40="*",FT40="*",FU40="*")),1,IF(AND(FT39="*",OR(FS40="*",FT40="*",FU40="*")),1,IF(AND(FU39="*",OR(FS40="*",FT40="*",FU40="*")),1,"")))</f>
        <v/>
      </c>
      <c r="GB39" s="41" t="str">
        <f>IF(AND(FR39="*",FR40="*"),1,"")</f>
        <v/>
      </c>
      <c r="GD39" s="41"/>
      <c r="GE39" s="41"/>
      <c r="GF39" s="41"/>
      <c r="GG39" s="41"/>
      <c r="GH39" s="41"/>
      <c r="GI39" s="41"/>
      <c r="GJ39" s="41" t="str">
        <f>IF(AND(GD39="*",OR(GE40="*",GF40="*",GG40="*")), 1,"")</f>
        <v/>
      </c>
      <c r="GK39" s="41" t="str">
        <f>IF(AND(GD39="*",GH40="*"),1,"")</f>
        <v/>
      </c>
      <c r="GL39" s="41" t="str">
        <f>IF(AND(GH40="*", OR(GE39="*", GF39="*",GG39="*")),1,"")</f>
        <v/>
      </c>
      <c r="GM39" s="41" t="str">
        <f>IF(AND(GD40="*",OR(GE39="*",GF39="*",GG39="*",GH39="*")),1,IF(AND(GH39="*",OR(GD40="*",GE40="*",GF40="*",GG40="*")),1,""))</f>
        <v/>
      </c>
      <c r="GN39" s="41" t="str">
        <f>IF(AND(GE39="*",OR(GE40="*",GF40="*",GG40="*")),1,IF(AND(GF39="*",OR(GE40="*",GF40="*",GG40="*")),1,IF(AND(GG39="*",OR(GE40="*",GF40="*",GG40="*")),1,"")))</f>
        <v/>
      </c>
      <c r="GO39" s="41" t="str">
        <f>IF(AND(GD39="*",GD40="*"),1,"")</f>
        <v/>
      </c>
      <c r="GQ39" s="41"/>
      <c r="GR39" s="41"/>
      <c r="GS39" s="41"/>
      <c r="GT39" s="41"/>
      <c r="GU39" s="41"/>
      <c r="GV39" s="41" t="str">
        <f>IF(AND(GQ39="*",OR(GR40="*",GS40="*",GT40="*")), 1,"")</f>
        <v/>
      </c>
      <c r="GW39" s="41" t="str">
        <f>IF(AND(GQ39="*",GU40="*"),1,"")</f>
        <v/>
      </c>
      <c r="GX39" s="41" t="str">
        <f>IF(AND(GU40="*", OR(GR39="*", GS39="*",GT39="*")),1,"")</f>
        <v/>
      </c>
      <c r="GY39" s="41" t="str">
        <f>IF(AND(GQ40="*",OR(GR39="*",GS39="*",GT39="*",GU39="*")),1,IF(AND(GU39="*",OR(GQ40="*",GR40="*",GS40="*",GT40="*")),1,""))</f>
        <v/>
      </c>
      <c r="GZ39" s="41" t="str">
        <f>IF(AND(GR39="*",OR(GR40="*",GS40="*",GT40="*")),1,IF(AND(GS39="*",OR(GR40="*",GS40="*",GT40="*")),1,IF(AND(GT39="*",OR(GR40="*",GS40="*",GT40="*")),1,"")))</f>
        <v/>
      </c>
      <c r="HA39" s="41" t="str">
        <f>IF(AND(GQ39="*",GQ40="*"),1,"")</f>
        <v/>
      </c>
      <c r="HC39" s="41"/>
      <c r="HD39" s="41"/>
      <c r="HE39" s="41"/>
      <c r="HF39" s="41"/>
      <c r="HG39" s="41"/>
      <c r="HH39" s="41" t="str">
        <f>IF(AND(HC39="*",OR(HD40="*",HE40="*",HF40="*")), 1,"")</f>
        <v/>
      </c>
      <c r="HI39" s="41" t="str">
        <f>IF(AND(HC39="*",HG40="*"),1,"")</f>
        <v/>
      </c>
      <c r="HJ39" s="41" t="str">
        <f>IF(AND(HG40="*", OR(HD39="*", HE39="*",HF39="*")),1,"")</f>
        <v/>
      </c>
      <c r="HK39" s="41" t="str">
        <f>IF(AND(HC40="*",OR(HD39="*",HE39="*",HF39="*",HG39="*")),1,IF(AND(HG39="*",OR(HC40="*",HD40="*",HE40="*",HF40="*")),1,""))</f>
        <v/>
      </c>
      <c r="HL39" s="41" t="str">
        <f>IF(AND(HD39="*",OR(HD40="*",HE40="*",HF40="*")),1,IF(AND(HE39="*",OR(HD40="*",HE40="*",HF40="*")),1,IF(AND(HF39="*",OR(HD40="*",HE40="*",HF40="*")),1,"")))</f>
        <v/>
      </c>
      <c r="HM39" s="41" t="str">
        <f>IF(AND(HC39="*",HC40="*"),1,"")</f>
        <v/>
      </c>
      <c r="HO39" s="41"/>
      <c r="HP39" s="41"/>
      <c r="HQ39" s="41"/>
      <c r="HR39" s="41"/>
      <c r="HS39" s="41"/>
      <c r="HT39" s="41" t="str">
        <f>IF(AND(HO39="*",OR(HP40="*",HQ40="*",HR40="*")), 1,"")</f>
        <v/>
      </c>
      <c r="HU39" s="41" t="str">
        <f>IF(AND(HO39="*",HS40="*"),1,"")</f>
        <v/>
      </c>
      <c r="HV39" s="41" t="str">
        <f>IF(AND(HS40="*", OR(HP39="*", HQ39="*",HR39="*")),1,"")</f>
        <v/>
      </c>
      <c r="HW39" s="41" t="str">
        <f>IF(AND(HO40="*",OR(HP39="*",HQ39="*",HR39="*",HS39="*")),1,IF(AND(HS39="*",OR(HO40="*",HP40="*",HQ40="*",HR40="*")),1,""))</f>
        <v/>
      </c>
      <c r="HX39" s="41" t="str">
        <f>IF(AND(HP39="*",OR(HP40="*",HQ40="*",HR40="*")),1,IF(AND(HQ39="*",OR(HP40="*",HQ40="*",HR40="*")),1,IF(AND(HR39="*",OR(HP40="*",HQ40="*",HR40="*")),1,"")))</f>
        <v/>
      </c>
      <c r="HY39" s="41" t="str">
        <f>IF(AND(HO39="*",HO40="*"),1,"")</f>
        <v/>
      </c>
      <c r="IA39" s="41"/>
      <c r="IB39" s="41"/>
      <c r="IC39" s="41"/>
      <c r="ID39" s="41"/>
      <c r="IE39" s="41"/>
      <c r="IF39" s="41" t="str">
        <f>IF(AND(IA39="*",OR(IB40="*",IC40="*",ID40="*")), 1,"")</f>
        <v/>
      </c>
      <c r="IG39" s="41" t="str">
        <f>IF(AND(IA39="*",IE40="*"),1,"")</f>
        <v/>
      </c>
      <c r="IH39" s="41" t="str">
        <f>IF(AND(IE40="*", OR(IB39="*", IC39="*",ID39="*")),1,"")</f>
        <v/>
      </c>
      <c r="II39" s="41" t="str">
        <f>IF(AND(IA40="*",OR(IB39="*",IC39="*",ID39="*",IE39="*")),1,IF(AND(IE39="*",OR(IA40="*",IB40="*",IC40="*",ID40="*")),1,""))</f>
        <v/>
      </c>
      <c r="IJ39" s="41" t="str">
        <f>IF(AND(IB39="*",OR(IB40="*",IC40="*",ID40="*")),1,IF(AND(IC39="*",OR(IB40="*",IC40="*",ID40="*")),1,IF(AND(ID39="*",OR(IB40="*",IC40="*",ID40="*")),1,"")))</f>
        <v/>
      </c>
      <c r="IK39" s="41" t="str">
        <f>IF(AND(IA39="*",IA40="*"),1,"")</f>
        <v/>
      </c>
      <c r="IL39" s="41">
        <f>COUNT(J39,V39,AH39,AT39,BF39,BS39,CE39,CQ39,DC39,DO39,EA39,EM39,EY39,FK39,FW39,GJ39,GV39,HH39,HT39,IF39)</f>
        <v>0</v>
      </c>
      <c r="IM39" s="41">
        <f t="shared" ref="IM39:IQ39" si="18">COUNT(K39,W39,AI39,AU39,BG39,BT39,CF39,CR39,DD39,DP39,EB39,EN39,EZ39,FL39,FX39,GK39,GW39,HI39,HU39,IG39)</f>
        <v>0</v>
      </c>
      <c r="IN39" s="41">
        <f t="shared" si="18"/>
        <v>0</v>
      </c>
      <c r="IO39" s="41">
        <f t="shared" si="18"/>
        <v>0</v>
      </c>
      <c r="IP39" s="41">
        <f t="shared" si="18"/>
        <v>0</v>
      </c>
      <c r="IQ39" s="41">
        <f t="shared" si="18"/>
        <v>0</v>
      </c>
    </row>
    <row r="40" spans="2:251" ht="15" customHeight="1" x14ac:dyDescent="0.4">
      <c r="B40" s="277"/>
      <c r="C40" s="279"/>
      <c r="D40" s="42" t="s">
        <v>72</v>
      </c>
      <c r="E40" s="41"/>
      <c r="F40" s="41"/>
      <c r="G40" s="41"/>
      <c r="H40" s="41"/>
      <c r="I40" s="41"/>
      <c r="J40" s="43"/>
      <c r="K40" s="43"/>
      <c r="L40" s="43"/>
      <c r="M40" s="43"/>
      <c r="N40" s="43"/>
      <c r="O40" s="43"/>
      <c r="Q40" s="41"/>
      <c r="R40" s="41"/>
      <c r="S40" s="41"/>
      <c r="T40" s="41"/>
      <c r="U40" s="41"/>
      <c r="V40" s="43"/>
      <c r="W40" s="43"/>
      <c r="X40" s="43"/>
      <c r="Y40" s="43"/>
      <c r="Z40" s="43"/>
      <c r="AA40" s="43"/>
      <c r="AC40" s="41"/>
      <c r="AD40" s="41"/>
      <c r="AE40" s="41"/>
      <c r="AF40" s="41"/>
      <c r="AG40" s="41"/>
      <c r="AH40" s="43"/>
      <c r="AI40" s="43"/>
      <c r="AJ40" s="43"/>
      <c r="AK40" s="43"/>
      <c r="AL40" s="43"/>
      <c r="AM40" s="43"/>
      <c r="AO40" s="41"/>
      <c r="AP40" s="41"/>
      <c r="AQ40" s="41"/>
      <c r="AR40" s="41"/>
      <c r="AS40" s="41"/>
      <c r="AT40" s="43"/>
      <c r="AU40" s="43"/>
      <c r="AV40" s="43"/>
      <c r="AW40" s="43"/>
      <c r="AX40" s="43"/>
      <c r="AY40" s="43"/>
      <c r="BA40" s="41"/>
      <c r="BB40" s="41"/>
      <c r="BC40" s="41"/>
      <c r="BD40" s="41"/>
      <c r="BE40" s="41"/>
      <c r="BF40" s="43"/>
      <c r="BG40" s="43"/>
      <c r="BH40" s="43"/>
      <c r="BI40" s="43"/>
      <c r="BJ40" s="43"/>
      <c r="BK40" s="43"/>
      <c r="BM40" s="41"/>
      <c r="BN40" s="41"/>
      <c r="BO40" s="41"/>
      <c r="BP40" s="41"/>
      <c r="BQ40" s="41"/>
      <c r="BR40" s="41"/>
      <c r="BS40" s="43"/>
      <c r="BT40" s="43"/>
      <c r="BU40" s="43"/>
      <c r="BV40" s="43"/>
      <c r="BW40" s="43"/>
      <c r="BX40" s="43"/>
      <c r="BZ40" s="41"/>
      <c r="CA40" s="41"/>
      <c r="CB40" s="41"/>
      <c r="CC40" s="41"/>
      <c r="CD40" s="41"/>
      <c r="CE40" s="43"/>
      <c r="CF40" s="43"/>
      <c r="CG40" s="43"/>
      <c r="CH40" s="43"/>
      <c r="CI40" s="43"/>
      <c r="CJ40" s="43"/>
      <c r="CL40" s="41"/>
      <c r="CM40" s="41"/>
      <c r="CN40" s="41"/>
      <c r="CO40" s="41"/>
      <c r="CP40" s="41"/>
      <c r="CQ40" s="43"/>
      <c r="CR40" s="43"/>
      <c r="CS40" s="43"/>
      <c r="CT40" s="43"/>
      <c r="CU40" s="43"/>
      <c r="CV40" s="43"/>
      <c r="CX40" s="41"/>
      <c r="CY40" s="41"/>
      <c r="CZ40" s="41"/>
      <c r="DA40" s="41"/>
      <c r="DB40" s="41"/>
      <c r="DC40" s="43"/>
      <c r="DD40" s="43"/>
      <c r="DE40" s="43"/>
      <c r="DF40" s="43"/>
      <c r="DG40" s="43"/>
      <c r="DH40" s="43"/>
      <c r="DJ40" s="41"/>
      <c r="DK40" s="41"/>
      <c r="DL40" s="41"/>
      <c r="DM40" s="41"/>
      <c r="DN40" s="41"/>
      <c r="DO40" s="43"/>
      <c r="DP40" s="43"/>
      <c r="DQ40" s="43"/>
      <c r="DR40" s="43"/>
      <c r="DS40" s="43"/>
      <c r="DT40" s="43"/>
      <c r="DV40" s="41"/>
      <c r="DW40" s="41"/>
      <c r="DX40" s="41"/>
      <c r="DY40" s="41"/>
      <c r="DZ40" s="41"/>
      <c r="EA40" s="43"/>
      <c r="EB40" s="43"/>
      <c r="EC40" s="43"/>
      <c r="ED40" s="43"/>
      <c r="EE40" s="43"/>
      <c r="EF40" s="43"/>
      <c r="EH40" s="41"/>
      <c r="EI40" s="41"/>
      <c r="EJ40" s="41"/>
      <c r="EK40" s="41"/>
      <c r="EL40" s="41"/>
      <c r="EM40" s="43"/>
      <c r="EN40" s="43"/>
      <c r="EO40" s="43"/>
      <c r="EP40" s="43"/>
      <c r="EQ40" s="43"/>
      <c r="ER40" s="43"/>
      <c r="ET40" s="41"/>
      <c r="EU40" s="41"/>
      <c r="EV40" s="41"/>
      <c r="EW40" s="41"/>
      <c r="EX40" s="41"/>
      <c r="EY40" s="43"/>
      <c r="EZ40" s="43"/>
      <c r="FA40" s="43"/>
      <c r="FB40" s="43"/>
      <c r="FC40" s="43"/>
      <c r="FD40" s="43"/>
      <c r="FF40" s="41"/>
      <c r="FG40" s="41"/>
      <c r="FH40" s="41"/>
      <c r="FI40" s="41"/>
      <c r="FJ40" s="41"/>
      <c r="FK40" s="43"/>
      <c r="FL40" s="43"/>
      <c r="FM40" s="43"/>
      <c r="FN40" s="43"/>
      <c r="FO40" s="43"/>
      <c r="FP40" s="43"/>
      <c r="FR40" s="41"/>
      <c r="FS40" s="41"/>
      <c r="FT40" s="41"/>
      <c r="FU40" s="41"/>
      <c r="FV40" s="41"/>
      <c r="FW40" s="43"/>
      <c r="FX40" s="43"/>
      <c r="FY40" s="43"/>
      <c r="FZ40" s="43"/>
      <c r="GA40" s="43"/>
      <c r="GB40" s="43"/>
      <c r="GD40" s="41"/>
      <c r="GE40" s="41"/>
      <c r="GF40" s="41"/>
      <c r="GG40" s="41"/>
      <c r="GH40" s="41"/>
      <c r="GI40" s="41"/>
      <c r="GJ40" s="43"/>
      <c r="GK40" s="43"/>
      <c r="GL40" s="43"/>
      <c r="GM40" s="43"/>
      <c r="GN40" s="43"/>
      <c r="GO40" s="43"/>
      <c r="GQ40" s="41"/>
      <c r="GR40" s="41"/>
      <c r="GS40" s="41"/>
      <c r="GT40" s="41"/>
      <c r="GU40" s="41"/>
      <c r="GV40" s="43"/>
      <c r="GW40" s="43"/>
      <c r="GX40" s="43"/>
      <c r="GY40" s="43"/>
      <c r="GZ40" s="43"/>
      <c r="HA40" s="43"/>
      <c r="HC40" s="41"/>
      <c r="HD40" s="41"/>
      <c r="HE40" s="41"/>
      <c r="HF40" s="41"/>
      <c r="HG40" s="41"/>
      <c r="HH40" s="43"/>
      <c r="HI40" s="43"/>
      <c r="HJ40" s="43"/>
      <c r="HK40" s="43"/>
      <c r="HL40" s="43"/>
      <c r="HM40" s="43"/>
      <c r="HO40" s="41"/>
      <c r="HP40" s="41"/>
      <c r="HQ40" s="41"/>
      <c r="HR40" s="41"/>
      <c r="HS40" s="41"/>
      <c r="HT40" s="43"/>
      <c r="HU40" s="43"/>
      <c r="HV40" s="43"/>
      <c r="HW40" s="43"/>
      <c r="HX40" s="43"/>
      <c r="HY40" s="43"/>
      <c r="IA40" s="41"/>
      <c r="IB40" s="41"/>
      <c r="IC40" s="41"/>
      <c r="ID40" s="41"/>
      <c r="IE40" s="41"/>
      <c r="IF40" s="43"/>
      <c r="IG40" s="43"/>
      <c r="IH40" s="43"/>
      <c r="II40" s="43"/>
      <c r="IJ40" s="43"/>
      <c r="IK40" s="43"/>
    </row>
    <row r="41" spans="2:251" ht="15" customHeight="1" x14ac:dyDescent="0.4">
      <c r="B41" s="273">
        <v>20</v>
      </c>
      <c r="C41" s="274">
        <f>고객요구사항도출표!C24</f>
        <v>0</v>
      </c>
      <c r="D41" s="40" t="s">
        <v>73</v>
      </c>
      <c r="E41" s="44"/>
      <c r="F41" s="44"/>
      <c r="G41" s="44"/>
      <c r="H41" s="44"/>
      <c r="I41" s="44"/>
      <c r="J41" s="44" t="str">
        <f>IF(AND(E41="*",OR(F42="*",G42="*",H42="*")), 1,"")</f>
        <v/>
      </c>
      <c r="K41" s="44" t="str">
        <f>IF(AND(E41="*",I42="*"),1,"")</f>
        <v/>
      </c>
      <c r="L41" s="44" t="str">
        <f>IF(AND(I42="*", OR(F41="*", G41="*",H41="*")),1,"")</f>
        <v/>
      </c>
      <c r="M41" s="44" t="str">
        <f>IF(AND(E42="*",OR(F41="*",G41="*",H41="*",I41="*")),1,IF(AND(I41="*",OR(E42="*",F42="*",G42="*",H42="*")),1,""))</f>
        <v/>
      </c>
      <c r="N41" s="44" t="str">
        <f>IF(AND(F41="*",OR(F42="*",G42="*",H42="*")),1,IF(AND(G41="*",OR(F42="*",G42="*",H42="*")),1,IF(AND(H41="*",OR(F42="*",G42="*",H42="*")),1,"")))</f>
        <v/>
      </c>
      <c r="O41" s="44" t="str">
        <f>IF(AND(E41="*",E42="*"),1,"")</f>
        <v/>
      </c>
      <c r="Q41" s="44"/>
      <c r="R41" s="44"/>
      <c r="S41" s="44"/>
      <c r="T41" s="44"/>
      <c r="U41" s="44"/>
      <c r="V41" s="44" t="str">
        <f>IF(AND(Q41="*",OR(R42="*",S42="*",T42="*")), 1,"")</f>
        <v/>
      </c>
      <c r="W41" s="44" t="str">
        <f>IF(AND(Q41="*",U42="*"),1,"")</f>
        <v/>
      </c>
      <c r="X41" s="44" t="str">
        <f>IF(AND(U42="*", OR(R41="*", S41="*",T41="*")),1,"")</f>
        <v/>
      </c>
      <c r="Y41" s="44" t="str">
        <f>IF(AND(Q42="*",OR(R41="*",S41="*",T41="*",U41="*")),1,IF(AND(U41="*",OR(Q42="*",R42="*",S42="*",T42="*")),1,""))</f>
        <v/>
      </c>
      <c r="Z41" s="44" t="str">
        <f>IF(AND(R41="*",OR(R42="*",S42="*",T42="*")),1,IF(AND(S41="*",OR(R42="*",S42="*",T42="*")),1,IF(AND(T41="*",OR(R42="*",S42="*",T42="*")),1,"")))</f>
        <v/>
      </c>
      <c r="AA41" s="44" t="str">
        <f>IF(AND(Q41="*",Q42="*"),1,"")</f>
        <v/>
      </c>
      <c r="AC41" s="44"/>
      <c r="AD41" s="44"/>
      <c r="AE41" s="44"/>
      <c r="AF41" s="44"/>
      <c r="AG41" s="44"/>
      <c r="AH41" s="44" t="str">
        <f>IF(AND(AC41="*",OR(AD42="*",AE42="*",AF42="*")), 1,"")</f>
        <v/>
      </c>
      <c r="AI41" s="44" t="str">
        <f>IF(AND(AC41="*",AG42="*"),1,"")</f>
        <v/>
      </c>
      <c r="AJ41" s="44" t="str">
        <f>IF(AND(AG42="*", OR(AD41="*", AE41="*",AF41="*")),1,"")</f>
        <v/>
      </c>
      <c r="AK41" s="44" t="str">
        <f>IF(AND(AC42="*",OR(AD41="*",AE41="*",AF41="*",AG41="*")),1,IF(AND(AG41="*",OR(AC42="*",AD42="*",AE42="*",AF42="*")),1,""))</f>
        <v/>
      </c>
      <c r="AL41" s="44" t="str">
        <f>IF(AND(AD41="*",OR(AD42="*",AE42="*",AF42="*")),1,IF(AND(AE41="*",OR(AD42="*",AE42="*",AF42="*")),1,IF(AND(AF41="*",OR(AD42="*",AE42="*",AF42="*")),1,"")))</f>
        <v/>
      </c>
      <c r="AM41" s="44" t="str">
        <f>IF(AND(AC41="*",AC42="*"),1,"")</f>
        <v/>
      </c>
      <c r="AO41" s="44"/>
      <c r="AP41" s="44"/>
      <c r="AQ41" s="44"/>
      <c r="AR41" s="44"/>
      <c r="AS41" s="44"/>
      <c r="AT41" s="44" t="str">
        <f>IF(AND(AO41="*",OR(AP42="*",AQ42="*",AR42="*")), 1,"")</f>
        <v/>
      </c>
      <c r="AU41" s="44" t="str">
        <f>IF(AND(AO41="*",AS42="*"),1,"")</f>
        <v/>
      </c>
      <c r="AV41" s="44" t="str">
        <f>IF(AND(AS42="*", OR(AP41="*", AQ41="*",AR41="*")),1,"")</f>
        <v/>
      </c>
      <c r="AW41" s="44" t="str">
        <f>IF(AND(AO42="*",OR(AP41="*",AQ41="*",AR41="*",AS41="*")),1,IF(AND(AS41="*",OR(AO42="*",AP42="*",AQ42="*",AR42="*")),1,""))</f>
        <v/>
      </c>
      <c r="AX41" s="44" t="str">
        <f>IF(AND(AP41="*",OR(AP42="*",AQ42="*",AR42="*")),1,IF(AND(AQ41="*",OR(AP42="*",AQ42="*",AR42="*")),1,IF(AND(AR41="*",OR(AP42="*",AQ42="*",AR42="*")),1,"")))</f>
        <v/>
      </c>
      <c r="AY41" s="44" t="str">
        <f>IF(AND(AO41="*",AO42="*"),1,"")</f>
        <v/>
      </c>
      <c r="BA41" s="44"/>
      <c r="BB41" s="44"/>
      <c r="BC41" s="44"/>
      <c r="BD41" s="44"/>
      <c r="BE41" s="44"/>
      <c r="BF41" s="44" t="str">
        <f>IF(AND(BA41="*",OR(BB42="*",BC42="*",BD42="*")), 1,"")</f>
        <v/>
      </c>
      <c r="BG41" s="44" t="str">
        <f>IF(AND(BA41="*",BE42="*"),1,"")</f>
        <v/>
      </c>
      <c r="BH41" s="44" t="str">
        <f>IF(AND(BE42="*", OR(BB41="*", BC41="*",BD41="*")),1,"")</f>
        <v/>
      </c>
      <c r="BI41" s="44" t="str">
        <f>IF(AND(BA42="*",OR(BB41="*",BC41="*",BD41="*",BE41="*")),1,IF(AND(BE41="*",OR(BA42="*",BB42="*",BC42="*",BD42="*")),1,""))</f>
        <v/>
      </c>
      <c r="BJ41" s="44" t="str">
        <f>IF(AND(BB41="*",OR(BB42="*",BC42="*",BD42="*")),1,IF(AND(BC41="*",OR(BB42="*",BC42="*",BD42="*")),1,IF(AND(BD41="*",OR(BB42="*",BC42="*",BD42="*")),1,"")))</f>
        <v/>
      </c>
      <c r="BK41" s="44" t="str">
        <f>IF(AND(BA41="*",BA42="*"),1,"")</f>
        <v/>
      </c>
      <c r="BM41" s="44"/>
      <c r="BN41" s="44"/>
      <c r="BO41" s="44"/>
      <c r="BP41" s="44"/>
      <c r="BQ41" s="44"/>
      <c r="BR41" s="44"/>
      <c r="BS41" s="44" t="str">
        <f>IF(AND(BM41="*",OR(BN42="*",BO42="*",BP42="*")), 1,"")</f>
        <v/>
      </c>
      <c r="BT41" s="44" t="str">
        <f>IF(AND(BM41="*",BQ42="*"),1,"")</f>
        <v/>
      </c>
      <c r="BU41" s="44" t="str">
        <f>IF(AND(BQ42="*", OR(BN41="*", BO41="*",BP41="*")),1,"")</f>
        <v/>
      </c>
      <c r="BV41" s="44" t="str">
        <f>IF(AND(BM42="*",OR(BN41="*",BO41="*",BP41="*",BQ41="*")),1,IF(AND(BQ41="*",OR(BM42="*",BN42="*",BO42="*",BP42="*")),1,""))</f>
        <v/>
      </c>
      <c r="BW41" s="44" t="str">
        <f>IF(AND(BN41="*",OR(BN42="*",BO42="*",BP42="*")),1,IF(AND(BO41="*",OR(BN42="*",BO42="*",BP42="*")),1,IF(AND(BP41="*",OR(BN42="*",BO42="*",BP42="*")),1,"")))</f>
        <v/>
      </c>
      <c r="BX41" s="44" t="str">
        <f>IF(AND(BM41="*",BM42="*"),1,"")</f>
        <v/>
      </c>
      <c r="BZ41" s="44"/>
      <c r="CA41" s="44"/>
      <c r="CB41" s="44"/>
      <c r="CC41" s="44"/>
      <c r="CD41" s="44"/>
      <c r="CE41" s="44" t="str">
        <f>IF(AND(BZ41="*",OR(CA42="*",CB42="*",CC42="*")), 1,"")</f>
        <v/>
      </c>
      <c r="CF41" s="44" t="str">
        <f>IF(AND(BZ41="*",CD42="*"),1,"")</f>
        <v/>
      </c>
      <c r="CG41" s="44" t="str">
        <f>IF(AND(CD42="*", OR(CA41="*", CB41="*",CC41="*")),1,"")</f>
        <v/>
      </c>
      <c r="CH41" s="44" t="str">
        <f>IF(AND(BZ42="*",OR(CA41="*",CB41="*",CC41="*",CD41="*")),1,IF(AND(CD41="*",OR(BZ42="*",CA42="*",CB42="*",CC42="*")),1,""))</f>
        <v/>
      </c>
      <c r="CI41" s="44" t="str">
        <f>IF(AND(CA41="*",OR(CA42="*",CB42="*",CC42="*")),1,IF(AND(CB41="*",OR(CA42="*",CB42="*",CC42="*")),1,IF(AND(CC41="*",OR(CA42="*",CB42="*",CC42="*")),1,"")))</f>
        <v/>
      </c>
      <c r="CJ41" s="44" t="str">
        <f>IF(AND(BZ41="*",BZ42="*"),1,"")</f>
        <v/>
      </c>
      <c r="CL41" s="44"/>
      <c r="CM41" s="44"/>
      <c r="CN41" s="44"/>
      <c r="CO41" s="44"/>
      <c r="CP41" s="44"/>
      <c r="CQ41" s="44" t="str">
        <f>IF(AND(CL41="*",OR(CM42="*",CN42="*",CO42="*")), 1,"")</f>
        <v/>
      </c>
      <c r="CR41" s="44" t="str">
        <f>IF(AND(CL41="*",CP42="*"),1,"")</f>
        <v/>
      </c>
      <c r="CS41" s="44" t="str">
        <f>IF(AND(CP42="*", OR(CM41="*", CN41="*",CO41="*")),1,"")</f>
        <v/>
      </c>
      <c r="CT41" s="44" t="str">
        <f>IF(AND(CL42="*",OR(CM41="*",CN41="*",CO41="*",CP41="*")),1,IF(AND(CP41="*",OR(CL42="*",CM42="*",CN42="*",CO42="*")),1,""))</f>
        <v/>
      </c>
      <c r="CU41" s="44" t="str">
        <f>IF(AND(CM41="*",OR(CM42="*",CN42="*",CO42="*")),1,IF(AND(CN41="*",OR(CM42="*",CN42="*",CO42="*")),1,IF(AND(CO41="*",OR(CM42="*",CN42="*",CO42="*")),1,"")))</f>
        <v/>
      </c>
      <c r="CV41" s="44" t="str">
        <f>IF(AND(CL41="*",CL42="*"),1,"")</f>
        <v/>
      </c>
      <c r="CX41" s="44"/>
      <c r="CY41" s="44"/>
      <c r="CZ41" s="44"/>
      <c r="DA41" s="44"/>
      <c r="DB41" s="44"/>
      <c r="DC41" s="44" t="str">
        <f>IF(AND(CX41="*",OR(CY42="*",CZ42="*",DA42="*")), 1,"")</f>
        <v/>
      </c>
      <c r="DD41" s="44" t="str">
        <f>IF(AND(CX41="*",DB42="*"),1,"")</f>
        <v/>
      </c>
      <c r="DE41" s="44" t="str">
        <f>IF(AND(DB42="*", OR(CY41="*", CZ41="*",DA41="*")),1,"")</f>
        <v/>
      </c>
      <c r="DF41" s="44" t="str">
        <f>IF(AND(CX42="*",OR(CY41="*",CZ41="*",DA41="*",DB41="*")),1,IF(AND(DB41="*",OR(CX42="*",CY42="*",CZ42="*",DA42="*")),1,""))</f>
        <v/>
      </c>
      <c r="DG41" s="44" t="str">
        <f>IF(AND(CY41="*",OR(CY42="*",CZ42="*",DA42="*")),1,IF(AND(CZ41="*",OR(CY42="*",CZ42="*",DA42="*")),1,IF(AND(DA41="*",OR(CY42="*",CZ42="*",DA42="*")),1,"")))</f>
        <v/>
      </c>
      <c r="DH41" s="44" t="str">
        <f>IF(AND(CX41="*",CX42="*"),1,"")</f>
        <v/>
      </c>
      <c r="DJ41" s="44"/>
      <c r="DK41" s="44"/>
      <c r="DL41" s="44"/>
      <c r="DM41" s="44"/>
      <c r="DN41" s="44"/>
      <c r="DO41" s="44" t="str">
        <f>IF(AND(DJ41="*",OR(DK42="*",DL42="*",DM42="*")), 1,"")</f>
        <v/>
      </c>
      <c r="DP41" s="44" t="str">
        <f>IF(AND(DJ41="*",DN42="*"),1,"")</f>
        <v/>
      </c>
      <c r="DQ41" s="44" t="str">
        <f>IF(AND(DN42="*", OR(DK41="*", DL41="*",DM41="*")),1,"")</f>
        <v/>
      </c>
      <c r="DR41" s="44" t="str">
        <f>IF(AND(DJ42="*",OR(DK41="*",DL41="*",DM41="*",DN41="*")),1,IF(AND(DN41="*",OR(DJ42="*",DK42="*",DL42="*",DM42="*")),1,""))</f>
        <v/>
      </c>
      <c r="DS41" s="44" t="str">
        <f>IF(AND(DK41="*",OR(DK42="*",DL42="*",DM42="*")),1,IF(AND(DL41="*",OR(DK42="*",DL42="*",DM42="*")),1,IF(AND(DM41="*",OR(DK42="*",DL42="*",DM42="*")),1,"")))</f>
        <v/>
      </c>
      <c r="DT41" s="44" t="str">
        <f>IF(AND(DJ41="*",DJ42="*"),1,"")</f>
        <v/>
      </c>
      <c r="DV41" s="44"/>
      <c r="DW41" s="44"/>
      <c r="DX41" s="44"/>
      <c r="DY41" s="44"/>
      <c r="DZ41" s="44"/>
      <c r="EA41" s="44" t="str">
        <f>IF(AND(DV41="*",OR(DW42="*",DX42="*",DY42="*")), 1,"")</f>
        <v/>
      </c>
      <c r="EB41" s="44" t="str">
        <f>IF(AND(DV41="*",DZ42="*"),1,"")</f>
        <v/>
      </c>
      <c r="EC41" s="44" t="str">
        <f>IF(AND(DZ42="*", OR(DW41="*", DX41="*",DY41="*")),1,"")</f>
        <v/>
      </c>
      <c r="ED41" s="44" t="str">
        <f>IF(AND(DV42="*",OR(DW41="*",DX41="*",DY41="*",DZ41="*")),1,IF(AND(DZ41="*",OR(DV42="*",DW42="*",DX42="*",DY42="*")),1,""))</f>
        <v/>
      </c>
      <c r="EE41" s="44" t="str">
        <f>IF(AND(DW41="*",OR(DW42="*",DX42="*",DY42="*")),1,IF(AND(DX41="*",OR(DW42="*",DX42="*",DY42="*")),1,IF(AND(DY41="*",OR(DW42="*",DX42="*",DY42="*")),1,"")))</f>
        <v/>
      </c>
      <c r="EF41" s="44" t="str">
        <f>IF(AND(DV41="*",DV42="*"),1,"")</f>
        <v/>
      </c>
      <c r="EH41" s="44"/>
      <c r="EI41" s="44"/>
      <c r="EJ41" s="44"/>
      <c r="EK41" s="44"/>
      <c r="EL41" s="44"/>
      <c r="EM41" s="44" t="str">
        <f>IF(AND(EH41="*",OR(EI42="*",EJ42="*",EK42="*")), 1,"")</f>
        <v/>
      </c>
      <c r="EN41" s="44" t="str">
        <f>IF(AND(EH41="*",EL42="*"),1,"")</f>
        <v/>
      </c>
      <c r="EO41" s="44" t="str">
        <f>IF(AND(EL42="*", OR(EI41="*", EJ41="*",EK41="*")),1,"")</f>
        <v/>
      </c>
      <c r="EP41" s="44" t="str">
        <f>IF(AND(EH42="*",OR(EI41="*",EJ41="*",EK41="*",EL41="*")),1,IF(AND(EL41="*",OR(EH42="*",EI42="*",EJ42="*",EK42="*")),1,""))</f>
        <v/>
      </c>
      <c r="EQ41" s="44" t="str">
        <f>IF(AND(EI41="*",OR(EI42="*",EJ42="*",EK42="*")),1,IF(AND(EJ41="*",OR(EI42="*",EJ42="*",EK42="*")),1,IF(AND(EK41="*",OR(EI42="*",EJ42="*",EK42="*")),1,"")))</f>
        <v/>
      </c>
      <c r="ER41" s="44" t="str">
        <f>IF(AND(EH41="*",EH42="*"),1,"")</f>
        <v/>
      </c>
      <c r="ET41" s="44"/>
      <c r="EU41" s="44"/>
      <c r="EV41" s="44"/>
      <c r="EW41" s="44"/>
      <c r="EX41" s="44"/>
      <c r="EY41" s="44" t="str">
        <f>IF(AND(ET41="*",OR(EU42="*",EV42="*",EW42="*")), 1,"")</f>
        <v/>
      </c>
      <c r="EZ41" s="44" t="str">
        <f>IF(AND(ET41="*",EX42="*"),1,"")</f>
        <v/>
      </c>
      <c r="FA41" s="44" t="str">
        <f>IF(AND(EX42="*", OR(EU41="*", EV41="*",EW41="*")),1,"")</f>
        <v/>
      </c>
      <c r="FB41" s="44" t="str">
        <f>IF(AND(ET42="*",OR(EU41="*",EV41="*",EW41="*",EX41="*")),1,IF(AND(EX41="*",OR(ET42="*",EU42="*",EV42="*",EW42="*")),1,""))</f>
        <v/>
      </c>
      <c r="FC41" s="44" t="str">
        <f>IF(AND(EU41="*",OR(EU42="*",EV42="*",EW42="*")),1,IF(AND(EV41="*",OR(EU42="*",EV42="*",EW42="*")),1,IF(AND(EW41="*",OR(EU42="*",EV42="*",EW42="*")),1,"")))</f>
        <v/>
      </c>
      <c r="FD41" s="44" t="str">
        <f>IF(AND(ET41="*",ET42="*"),1,"")</f>
        <v/>
      </c>
      <c r="FF41" s="44"/>
      <c r="FG41" s="44"/>
      <c r="FH41" s="44"/>
      <c r="FI41" s="44"/>
      <c r="FJ41" s="44"/>
      <c r="FK41" s="44" t="str">
        <f>IF(AND(FF41="*",OR(FG42="*",FH42="*",FI42="*")), 1,"")</f>
        <v/>
      </c>
      <c r="FL41" s="44" t="str">
        <f>IF(AND(FF41="*",FJ42="*"),1,"")</f>
        <v/>
      </c>
      <c r="FM41" s="44" t="str">
        <f>IF(AND(FJ42="*", OR(FG41="*", FH41="*",FI41="*")),1,"")</f>
        <v/>
      </c>
      <c r="FN41" s="44" t="str">
        <f>IF(AND(FF42="*",OR(FG41="*",FH41="*",FI41="*",FJ41="*")),1,IF(AND(FJ41="*",OR(FF42="*",FG42="*",FH42="*",FI42="*")),1,""))</f>
        <v/>
      </c>
      <c r="FO41" s="44" t="str">
        <f>IF(AND(FG41="*",OR(FG42="*",FH42="*",FI42="*")),1,IF(AND(FH41="*",OR(FG42="*",FH42="*",FI42="*")),1,IF(AND(FI41="*",OR(FG42="*",FH42="*",FI42="*")),1,"")))</f>
        <v/>
      </c>
      <c r="FP41" s="44" t="str">
        <f>IF(AND(FF41="*",FF42="*"),1,"")</f>
        <v/>
      </c>
      <c r="FR41" s="44"/>
      <c r="FS41" s="44"/>
      <c r="FT41" s="44"/>
      <c r="FU41" s="44"/>
      <c r="FV41" s="44"/>
      <c r="FW41" s="44" t="str">
        <f>IF(AND(FR41="*",OR(FS42="*",FT42="*",FU42="*")), 1,"")</f>
        <v/>
      </c>
      <c r="FX41" s="44" t="str">
        <f>IF(AND(FR41="*",FV42="*"),1,"")</f>
        <v/>
      </c>
      <c r="FY41" s="44" t="str">
        <f>IF(AND(FV42="*", OR(FS41="*", FT41="*",FU41="*")),1,"")</f>
        <v/>
      </c>
      <c r="FZ41" s="44" t="str">
        <f>IF(AND(FR42="*",OR(FS41="*",FT41="*",FU41="*",FV41="*")),1,IF(AND(FV41="*",OR(FR42="*",FS42="*",FT42="*",FU42="*")),1,""))</f>
        <v/>
      </c>
      <c r="GA41" s="44" t="str">
        <f>IF(AND(FS41="*",OR(FS42="*",FT42="*",FU42="*")),1,IF(AND(FT41="*",OR(FS42="*",FT42="*",FU42="*")),1,IF(AND(FU41="*",OR(FS42="*",FT42="*",FU42="*")),1,"")))</f>
        <v/>
      </c>
      <c r="GB41" s="44" t="str">
        <f>IF(AND(FR41="*",FR42="*"),1,"")</f>
        <v/>
      </c>
      <c r="GD41" s="44"/>
      <c r="GE41" s="44"/>
      <c r="GF41" s="44"/>
      <c r="GG41" s="44"/>
      <c r="GH41" s="44"/>
      <c r="GI41" s="44"/>
      <c r="GJ41" s="44" t="str">
        <f>IF(AND(GD41="*",OR(GE42="*",GF42="*",GG42="*")), 1,"")</f>
        <v/>
      </c>
      <c r="GK41" s="44" t="str">
        <f>IF(AND(GD41="*",GH42="*"),1,"")</f>
        <v/>
      </c>
      <c r="GL41" s="44" t="str">
        <f>IF(AND(GH42="*", OR(GE41="*", GF41="*",GG41="*")),1,"")</f>
        <v/>
      </c>
      <c r="GM41" s="44" t="str">
        <f>IF(AND(GD42="*",OR(GE41="*",GF41="*",GG41="*",GH41="*")),1,IF(AND(GH41="*",OR(GD42="*",GE42="*",GF42="*",GG42="*")),1,""))</f>
        <v/>
      </c>
      <c r="GN41" s="44" t="str">
        <f>IF(AND(GE41="*",OR(GE42="*",GF42="*",GG42="*")),1,IF(AND(GF41="*",OR(GE42="*",GF42="*",GG42="*")),1,IF(AND(GG41="*",OR(GE42="*",GF42="*",GG42="*")),1,"")))</f>
        <v/>
      </c>
      <c r="GO41" s="44" t="str">
        <f>IF(AND(GD41="*",GD42="*"),1,"")</f>
        <v/>
      </c>
      <c r="GQ41" s="44"/>
      <c r="GR41" s="44"/>
      <c r="GS41" s="44"/>
      <c r="GT41" s="44"/>
      <c r="GU41" s="44"/>
      <c r="GV41" s="44" t="str">
        <f>IF(AND(GQ41="*",OR(GR42="*",GS42="*",GT42="*")), 1,"")</f>
        <v/>
      </c>
      <c r="GW41" s="44" t="str">
        <f>IF(AND(GQ41="*",GU42="*"),1,"")</f>
        <v/>
      </c>
      <c r="GX41" s="44" t="str">
        <f>IF(AND(GU42="*", OR(GR41="*", GS41="*",GT41="*")),1,"")</f>
        <v/>
      </c>
      <c r="GY41" s="44" t="str">
        <f>IF(AND(GQ42="*",OR(GR41="*",GS41="*",GT41="*",GU41="*")),1,IF(AND(GU41="*",OR(GQ42="*",GR42="*",GS42="*",GT42="*")),1,""))</f>
        <v/>
      </c>
      <c r="GZ41" s="44" t="str">
        <f>IF(AND(GR41="*",OR(GR42="*",GS42="*",GT42="*")),1,IF(AND(GS41="*",OR(GR42="*",GS42="*",GT42="*")),1,IF(AND(GT41="*",OR(GR42="*",GS42="*",GT42="*")),1,"")))</f>
        <v/>
      </c>
      <c r="HA41" s="44" t="str">
        <f>IF(AND(GQ41="*",GQ42="*"),1,"")</f>
        <v/>
      </c>
      <c r="HC41" s="44"/>
      <c r="HD41" s="44"/>
      <c r="HE41" s="44"/>
      <c r="HF41" s="44"/>
      <c r="HG41" s="44"/>
      <c r="HH41" s="44" t="str">
        <f>IF(AND(HC41="*",OR(HD42="*",HE42="*",HF42="*")), 1,"")</f>
        <v/>
      </c>
      <c r="HI41" s="44" t="str">
        <f>IF(AND(HC41="*",HG42="*"),1,"")</f>
        <v/>
      </c>
      <c r="HJ41" s="44" t="str">
        <f>IF(AND(HG42="*", OR(HD41="*", HE41="*",HF41="*")),1,"")</f>
        <v/>
      </c>
      <c r="HK41" s="44" t="str">
        <f>IF(AND(HC42="*",OR(HD41="*",HE41="*",HF41="*",HG41="*")),1,IF(AND(HG41="*",OR(HC42="*",HD42="*",HE42="*",HF42="*")),1,""))</f>
        <v/>
      </c>
      <c r="HL41" s="44" t="str">
        <f>IF(AND(HD41="*",OR(HD42="*",HE42="*",HF42="*")),1,IF(AND(HE41="*",OR(HD42="*",HE42="*",HF42="*")),1,IF(AND(HF41="*",OR(HD42="*",HE42="*",HF42="*")),1,"")))</f>
        <v/>
      </c>
      <c r="HM41" s="44" t="str">
        <f>IF(AND(HC41="*",HC42="*"),1,"")</f>
        <v/>
      </c>
      <c r="HO41" s="44"/>
      <c r="HP41" s="44"/>
      <c r="HQ41" s="44"/>
      <c r="HR41" s="44"/>
      <c r="HS41" s="44"/>
      <c r="HT41" s="44" t="str">
        <f>IF(AND(HO41="*",OR(HP42="*",HQ42="*",HR42="*")), 1,"")</f>
        <v/>
      </c>
      <c r="HU41" s="44" t="str">
        <f>IF(AND(HO41="*",HS42="*"),1,"")</f>
        <v/>
      </c>
      <c r="HV41" s="44" t="str">
        <f>IF(AND(HS42="*", OR(HP41="*", HQ41="*",HR41="*")),1,"")</f>
        <v/>
      </c>
      <c r="HW41" s="44" t="str">
        <f>IF(AND(HO42="*",OR(HP41="*",HQ41="*",HR41="*",HS41="*")),1,IF(AND(HS41="*",OR(HO42="*",HP42="*",HQ42="*",HR42="*")),1,""))</f>
        <v/>
      </c>
      <c r="HX41" s="44" t="str">
        <f>IF(AND(HP41="*",OR(HP42="*",HQ42="*",HR42="*")),1,IF(AND(HQ41="*",OR(HP42="*",HQ42="*",HR42="*")),1,IF(AND(HR41="*",OR(HP42="*",HQ42="*",HR42="*")),1,"")))</f>
        <v/>
      </c>
      <c r="HY41" s="44" t="str">
        <f>IF(AND(HO41="*",HO42="*"),1,"")</f>
        <v/>
      </c>
      <c r="IA41" s="44"/>
      <c r="IB41" s="44"/>
      <c r="IC41" s="44"/>
      <c r="ID41" s="44"/>
      <c r="IE41" s="44"/>
      <c r="IF41" s="44" t="str">
        <f>IF(AND(IA41="*",OR(IB42="*",IC42="*",ID42="*")), 1,"")</f>
        <v/>
      </c>
      <c r="IG41" s="44" t="str">
        <f>IF(AND(IA41="*",IE42="*"),1,"")</f>
        <v/>
      </c>
      <c r="IH41" s="44" t="str">
        <f>IF(AND(IE42="*", OR(IB41="*", IC41="*",ID41="*")),1,"")</f>
        <v/>
      </c>
      <c r="II41" s="44" t="str">
        <f>IF(AND(IA42="*",OR(IB41="*",IC41="*",ID41="*",IE41="*")),1,IF(AND(IE41="*",OR(IA42="*",IB42="*",IC42="*",ID42="*")),1,""))</f>
        <v/>
      </c>
      <c r="IJ41" s="44" t="str">
        <f>IF(AND(IB41="*",OR(IB42="*",IC42="*",ID42="*")),1,IF(AND(IC41="*",OR(IB42="*",IC42="*",ID42="*")),1,IF(AND(ID41="*",OR(IB42="*",IC42="*",ID42="*")),1,"")))</f>
        <v/>
      </c>
      <c r="IK41" s="44" t="str">
        <f>IF(AND(IA41="*",IA42="*"),1,"")</f>
        <v/>
      </c>
      <c r="IL41" s="44">
        <f>COUNT(J41,V41,AH41,AT41,BF41,BS41,CE41,CQ41,DC41,DO41,EA41,EM41,EY41,FK41,FW41,GJ41,GV41,HH41,HT41,IF41)</f>
        <v>0</v>
      </c>
      <c r="IM41" s="44">
        <f t="shared" ref="IM41:IQ41" si="19">COUNT(K41,W41,AI41,AU41,BG41,BT41,CF41,CR41,DD41,DP41,EB41,EN41,EZ41,FL41,FX41,GK41,GW41,HI41,HU41,IG41)</f>
        <v>0</v>
      </c>
      <c r="IN41" s="44">
        <f t="shared" si="19"/>
        <v>0</v>
      </c>
      <c r="IO41" s="44">
        <f t="shared" si="19"/>
        <v>0</v>
      </c>
      <c r="IP41" s="44">
        <f t="shared" si="19"/>
        <v>0</v>
      </c>
      <c r="IQ41" s="44">
        <f t="shared" si="19"/>
        <v>0</v>
      </c>
    </row>
    <row r="42" spans="2:251" ht="15" customHeight="1" x14ac:dyDescent="0.4">
      <c r="B42" s="273"/>
      <c r="C42" s="275"/>
      <c r="D42" s="42" t="s">
        <v>74</v>
      </c>
      <c r="E42" s="44"/>
      <c r="F42" s="44"/>
      <c r="G42" s="44"/>
      <c r="H42" s="44"/>
      <c r="I42" s="44"/>
      <c r="J42" s="43"/>
      <c r="K42" s="43"/>
      <c r="L42" s="43"/>
      <c r="M42" s="43"/>
      <c r="N42" s="43"/>
      <c r="O42" s="43"/>
      <c r="Q42" s="44"/>
      <c r="R42" s="44"/>
      <c r="S42" s="44"/>
      <c r="T42" s="44"/>
      <c r="U42" s="44"/>
      <c r="V42" s="43"/>
      <c r="W42" s="43"/>
      <c r="X42" s="43"/>
      <c r="Y42" s="43"/>
      <c r="Z42" s="43"/>
      <c r="AA42" s="43"/>
      <c r="AC42" s="44"/>
      <c r="AD42" s="44"/>
      <c r="AE42" s="44"/>
      <c r="AF42" s="44"/>
      <c r="AG42" s="44"/>
      <c r="AH42" s="43"/>
      <c r="AI42" s="43"/>
      <c r="AJ42" s="43"/>
      <c r="AK42" s="43"/>
      <c r="AL42" s="43"/>
      <c r="AM42" s="43"/>
      <c r="AO42" s="44"/>
      <c r="AP42" s="44"/>
      <c r="AQ42" s="44"/>
      <c r="AR42" s="44"/>
      <c r="AS42" s="44"/>
      <c r="AT42" s="43"/>
      <c r="AU42" s="43"/>
      <c r="AV42" s="43"/>
      <c r="AW42" s="43"/>
      <c r="AX42" s="43"/>
      <c r="AY42" s="43"/>
      <c r="BA42" s="44"/>
      <c r="BB42" s="44"/>
      <c r="BC42" s="44"/>
      <c r="BD42" s="44"/>
      <c r="BE42" s="44"/>
      <c r="BF42" s="43"/>
      <c r="BG42" s="43"/>
      <c r="BH42" s="43"/>
      <c r="BI42" s="43"/>
      <c r="BJ42" s="43"/>
      <c r="BK42" s="43"/>
      <c r="BM42" s="44"/>
      <c r="BN42" s="44"/>
      <c r="BO42" s="44"/>
      <c r="BP42" s="44"/>
      <c r="BQ42" s="44"/>
      <c r="BR42" s="44"/>
      <c r="BS42" s="43"/>
      <c r="BT42" s="43"/>
      <c r="BU42" s="43"/>
      <c r="BV42" s="43"/>
      <c r="BW42" s="43"/>
      <c r="BX42" s="43"/>
      <c r="BZ42" s="44"/>
      <c r="CA42" s="44"/>
      <c r="CB42" s="44"/>
      <c r="CC42" s="44"/>
      <c r="CD42" s="44"/>
      <c r="CE42" s="43"/>
      <c r="CF42" s="43"/>
      <c r="CG42" s="43"/>
      <c r="CH42" s="43"/>
      <c r="CI42" s="43"/>
      <c r="CJ42" s="43"/>
      <c r="CL42" s="44"/>
      <c r="CM42" s="44"/>
      <c r="CN42" s="44"/>
      <c r="CO42" s="44"/>
      <c r="CP42" s="44"/>
      <c r="CQ42" s="43"/>
      <c r="CR42" s="43"/>
      <c r="CS42" s="43"/>
      <c r="CT42" s="43"/>
      <c r="CU42" s="43"/>
      <c r="CV42" s="43"/>
      <c r="CX42" s="44"/>
      <c r="CY42" s="44"/>
      <c r="CZ42" s="44"/>
      <c r="DA42" s="44"/>
      <c r="DB42" s="44"/>
      <c r="DC42" s="43"/>
      <c r="DD42" s="43"/>
      <c r="DE42" s="43"/>
      <c r="DF42" s="43"/>
      <c r="DG42" s="43"/>
      <c r="DH42" s="43"/>
      <c r="DJ42" s="44"/>
      <c r="DK42" s="44"/>
      <c r="DL42" s="44"/>
      <c r="DM42" s="44"/>
      <c r="DN42" s="44"/>
      <c r="DO42" s="43"/>
      <c r="DP42" s="43"/>
      <c r="DQ42" s="43"/>
      <c r="DR42" s="43"/>
      <c r="DS42" s="43"/>
      <c r="DT42" s="43"/>
      <c r="DV42" s="44"/>
      <c r="DW42" s="44"/>
      <c r="DX42" s="44"/>
      <c r="DY42" s="44"/>
      <c r="DZ42" s="44"/>
      <c r="EA42" s="43"/>
      <c r="EB42" s="43"/>
      <c r="EC42" s="43"/>
      <c r="ED42" s="43"/>
      <c r="EE42" s="43"/>
      <c r="EF42" s="43"/>
      <c r="EH42" s="44"/>
      <c r="EI42" s="44"/>
      <c r="EJ42" s="44"/>
      <c r="EK42" s="44"/>
      <c r="EL42" s="44"/>
      <c r="EM42" s="43"/>
      <c r="EN42" s="43"/>
      <c r="EO42" s="43"/>
      <c r="EP42" s="43"/>
      <c r="EQ42" s="43"/>
      <c r="ER42" s="43"/>
      <c r="ET42" s="44"/>
      <c r="EU42" s="44"/>
      <c r="EV42" s="44"/>
      <c r="EW42" s="44"/>
      <c r="EX42" s="44"/>
      <c r="EY42" s="43"/>
      <c r="EZ42" s="43"/>
      <c r="FA42" s="43"/>
      <c r="FB42" s="43"/>
      <c r="FC42" s="43"/>
      <c r="FD42" s="43"/>
      <c r="FF42" s="44"/>
      <c r="FG42" s="44"/>
      <c r="FH42" s="44"/>
      <c r="FI42" s="44"/>
      <c r="FJ42" s="44"/>
      <c r="FK42" s="43"/>
      <c r="FL42" s="43"/>
      <c r="FM42" s="43"/>
      <c r="FN42" s="43"/>
      <c r="FO42" s="43"/>
      <c r="FP42" s="43"/>
      <c r="FR42" s="44"/>
      <c r="FS42" s="44"/>
      <c r="FT42" s="44"/>
      <c r="FU42" s="44"/>
      <c r="FV42" s="44"/>
      <c r="FW42" s="43"/>
      <c r="FX42" s="43"/>
      <c r="FY42" s="43"/>
      <c r="FZ42" s="43"/>
      <c r="GA42" s="43"/>
      <c r="GB42" s="43"/>
      <c r="GD42" s="44"/>
      <c r="GE42" s="44"/>
      <c r="GF42" s="44"/>
      <c r="GG42" s="44"/>
      <c r="GH42" s="44"/>
      <c r="GI42" s="44"/>
      <c r="GJ42" s="43"/>
      <c r="GK42" s="43"/>
      <c r="GL42" s="43"/>
      <c r="GM42" s="43"/>
      <c r="GN42" s="43"/>
      <c r="GO42" s="43"/>
      <c r="GQ42" s="44"/>
      <c r="GR42" s="44"/>
      <c r="GS42" s="44"/>
      <c r="GT42" s="44"/>
      <c r="GU42" s="44"/>
      <c r="GV42" s="43"/>
      <c r="GW42" s="43"/>
      <c r="GX42" s="43"/>
      <c r="GY42" s="43"/>
      <c r="GZ42" s="43"/>
      <c r="HA42" s="43"/>
      <c r="HC42" s="44"/>
      <c r="HD42" s="44"/>
      <c r="HE42" s="44"/>
      <c r="HF42" s="44"/>
      <c r="HG42" s="44"/>
      <c r="HH42" s="43"/>
      <c r="HI42" s="43"/>
      <c r="HJ42" s="43"/>
      <c r="HK42" s="43"/>
      <c r="HL42" s="43"/>
      <c r="HM42" s="43"/>
      <c r="HO42" s="44"/>
      <c r="HP42" s="44"/>
      <c r="HQ42" s="44"/>
      <c r="HR42" s="44"/>
      <c r="HS42" s="44"/>
      <c r="HT42" s="43"/>
      <c r="HU42" s="43"/>
      <c r="HV42" s="43"/>
      <c r="HW42" s="43"/>
      <c r="HX42" s="43"/>
      <c r="HY42" s="43"/>
      <c r="IA42" s="44"/>
      <c r="IB42" s="44"/>
      <c r="IC42" s="44"/>
      <c r="ID42" s="44"/>
      <c r="IE42" s="44"/>
      <c r="IF42" s="43"/>
      <c r="IG42" s="43"/>
      <c r="IH42" s="43"/>
      <c r="II42" s="43"/>
      <c r="IJ42" s="43"/>
      <c r="IK42" s="43"/>
    </row>
    <row r="43" spans="2:251" ht="15" customHeight="1" x14ac:dyDescent="0.4">
      <c r="B43" s="276">
        <v>21</v>
      </c>
      <c r="C43" s="278">
        <f>고객요구사항도출표!C25</f>
        <v>0</v>
      </c>
      <c r="D43" s="40" t="s">
        <v>55</v>
      </c>
      <c r="E43" s="41"/>
      <c r="F43" s="41"/>
      <c r="G43" s="41"/>
      <c r="H43" s="41"/>
      <c r="I43" s="41"/>
      <c r="J43" s="41" t="str">
        <f>IF(AND(E43="*",OR(F44="*",G44="*",H44="*")), 1,"")</f>
        <v/>
      </c>
      <c r="K43" s="41" t="str">
        <f>IF(AND(E43="*",I44="*"),1,"")</f>
        <v/>
      </c>
      <c r="L43" s="41" t="str">
        <f>IF(AND(I44="*", OR(F43="*", G43="*",H43="*")),1,"")</f>
        <v/>
      </c>
      <c r="M43" s="41" t="str">
        <f>IF(AND(E44="*",OR(F43="*",G43="*",H43="*",I43="*")),1,IF(AND(I43="*",OR(E44="*",F44="*",G44="*",H44="*")),1,""))</f>
        <v/>
      </c>
      <c r="N43" s="41" t="str">
        <f>IF(AND(F43="*",OR(F44="*",G44="*",H44="*")),1,IF(AND(G43="*",OR(F44="*",G44="*",H44="*")),1,IF(AND(H43="*",OR(F44="*",G44="*",H44="*")),1,"")))</f>
        <v/>
      </c>
      <c r="O43" s="41" t="str">
        <f>IF(AND(E43="*",E44="*"),1,"")</f>
        <v/>
      </c>
      <c r="Q43" s="41"/>
      <c r="R43" s="41"/>
      <c r="S43" s="41"/>
      <c r="T43" s="41"/>
      <c r="U43" s="41"/>
      <c r="V43" s="41" t="str">
        <f>IF(AND(Q43="*",OR(R44="*",S44="*",T44="*")), 1,"")</f>
        <v/>
      </c>
      <c r="W43" s="41" t="str">
        <f>IF(AND(Q43="*",U44="*"),1,"")</f>
        <v/>
      </c>
      <c r="X43" s="41" t="str">
        <f>IF(AND(U44="*", OR(R43="*", S43="*",T43="*")),1,"")</f>
        <v/>
      </c>
      <c r="Y43" s="41" t="str">
        <f>IF(AND(Q44="*",OR(R43="*",S43="*",T43="*",U43="*")),1,IF(AND(U43="*",OR(Q44="*",R44="*",S44="*",T44="*")),1,""))</f>
        <v/>
      </c>
      <c r="Z43" s="41" t="str">
        <f>IF(AND(R43="*",OR(R44="*",S44="*",T44="*")),1,IF(AND(S43="*",OR(R44="*",S44="*",T44="*")),1,IF(AND(T43="*",OR(R44="*",S44="*",T44="*")),1,"")))</f>
        <v/>
      </c>
      <c r="AA43" s="41" t="str">
        <f>IF(AND(Q43="*",Q44="*"),1,"")</f>
        <v/>
      </c>
      <c r="AC43" s="41"/>
      <c r="AD43" s="41"/>
      <c r="AE43" s="41"/>
      <c r="AF43" s="41"/>
      <c r="AG43" s="41"/>
      <c r="AH43" s="41" t="str">
        <f>IF(AND(AC43="*",OR(AD44="*",AE44="*",AF44="*")), 1,"")</f>
        <v/>
      </c>
      <c r="AI43" s="41" t="str">
        <f>IF(AND(AC43="*",AG44="*"),1,"")</f>
        <v/>
      </c>
      <c r="AJ43" s="41" t="str">
        <f>IF(AND(AG44="*", OR(AD43="*", AE43="*",AF43="*")),1,"")</f>
        <v/>
      </c>
      <c r="AK43" s="41" t="str">
        <f>IF(AND(AC44="*",OR(AD43="*",AE43="*",AF43="*",AG43="*")),1,IF(AND(AG43="*",OR(AC44="*",AD44="*",AE44="*",AF44="*")),1,""))</f>
        <v/>
      </c>
      <c r="AL43" s="41" t="str">
        <f>IF(AND(AD43="*",OR(AD44="*",AE44="*",AF44="*")),1,IF(AND(AE43="*",OR(AD44="*",AE44="*",AF44="*")),1,IF(AND(AF43="*",OR(AD44="*",AE44="*",AF44="*")),1,"")))</f>
        <v/>
      </c>
      <c r="AM43" s="41" t="str">
        <f>IF(AND(AC43="*",AC44="*"),1,"")</f>
        <v/>
      </c>
      <c r="AO43" s="41"/>
      <c r="AP43" s="41"/>
      <c r="AQ43" s="41"/>
      <c r="AR43" s="41"/>
      <c r="AS43" s="41"/>
      <c r="AT43" s="41" t="str">
        <f>IF(AND(AO43="*",OR(AP44="*",AQ44="*",AR44="*")), 1,"")</f>
        <v/>
      </c>
      <c r="AU43" s="41" t="str">
        <f>IF(AND(AO43="*",AS44="*"),1,"")</f>
        <v/>
      </c>
      <c r="AV43" s="41" t="str">
        <f>IF(AND(AS44="*", OR(AP43="*", AQ43="*",AR43="*")),1,"")</f>
        <v/>
      </c>
      <c r="AW43" s="41" t="str">
        <f>IF(AND(AO44="*",OR(AP43="*",AQ43="*",AR43="*",AS43="*")),1,IF(AND(AS43="*",OR(AO44="*",AP44="*",AQ44="*",AR44="*")),1,""))</f>
        <v/>
      </c>
      <c r="AX43" s="41" t="str">
        <f>IF(AND(AP43="*",OR(AP44="*",AQ44="*",AR44="*")),1,IF(AND(AQ43="*",OR(AP44="*",AQ44="*",AR44="*")),1,IF(AND(AR43="*",OR(AP44="*",AQ44="*",AR44="*")),1,"")))</f>
        <v/>
      </c>
      <c r="AY43" s="41" t="str">
        <f>IF(AND(AO43="*",AO44="*"),1,"")</f>
        <v/>
      </c>
      <c r="BA43" s="41"/>
      <c r="BB43" s="41"/>
      <c r="BC43" s="41"/>
      <c r="BD43" s="41"/>
      <c r="BE43" s="41"/>
      <c r="BF43" s="41" t="str">
        <f>IF(AND(BA43="*",OR(BB44="*",BC44="*",BD44="*")), 1,"")</f>
        <v/>
      </c>
      <c r="BG43" s="41" t="str">
        <f>IF(AND(BA43="*",BE44="*"),1,"")</f>
        <v/>
      </c>
      <c r="BH43" s="41" t="str">
        <f>IF(AND(BE44="*", OR(BB43="*", BC43="*",BD43="*")),1,"")</f>
        <v/>
      </c>
      <c r="BI43" s="41" t="str">
        <f>IF(AND(BA44="*",OR(BB43="*",BC43="*",BD43="*",BE43="*")),1,IF(AND(BE43="*",OR(BA44="*",BB44="*",BC44="*",BD44="*")),1,""))</f>
        <v/>
      </c>
      <c r="BJ43" s="41" t="str">
        <f>IF(AND(BB43="*",OR(BB44="*",BC44="*",BD44="*")),1,IF(AND(BC43="*",OR(BB44="*",BC44="*",BD44="*")),1,IF(AND(BD43="*",OR(BB44="*",BC44="*",BD44="*")),1,"")))</f>
        <v/>
      </c>
      <c r="BK43" s="41" t="str">
        <f>IF(AND(BA43="*",BA44="*"),1,"")</f>
        <v/>
      </c>
      <c r="BM43" s="41"/>
      <c r="BN43" s="41"/>
      <c r="BO43" s="41"/>
      <c r="BP43" s="41"/>
      <c r="BQ43" s="41"/>
      <c r="BR43" s="41"/>
      <c r="BS43" s="41" t="str">
        <f>IF(AND(BM43="*",OR(BN44="*",BO44="*",BP44="*")), 1,"")</f>
        <v/>
      </c>
      <c r="BT43" s="41" t="str">
        <f>IF(AND(BM43="*",BQ44="*"),1,"")</f>
        <v/>
      </c>
      <c r="BU43" s="41" t="str">
        <f>IF(AND(BQ44="*", OR(BN43="*", BO43="*",BP43="*")),1,"")</f>
        <v/>
      </c>
      <c r="BV43" s="41" t="str">
        <f>IF(AND(BM44="*",OR(BN43="*",BO43="*",BP43="*",BQ43="*")),1,IF(AND(BQ43="*",OR(BM44="*",BN44="*",BO44="*",BP44="*")),1,""))</f>
        <v/>
      </c>
      <c r="BW43" s="41" t="str">
        <f>IF(AND(BN43="*",OR(BN44="*",BO44="*",BP44="*")),1,IF(AND(BO43="*",OR(BN44="*",BO44="*",BP44="*")),1,IF(AND(BP43="*",OR(BN44="*",BO44="*",BP44="*")),1,"")))</f>
        <v/>
      </c>
      <c r="BX43" s="41" t="str">
        <f>IF(AND(BM43="*",BM44="*"),1,"")</f>
        <v/>
      </c>
      <c r="BZ43" s="41"/>
      <c r="CA43" s="41"/>
      <c r="CB43" s="41"/>
      <c r="CC43" s="41"/>
      <c r="CD43" s="41"/>
      <c r="CE43" s="41" t="str">
        <f>IF(AND(BZ43="*",OR(CA44="*",CB44="*",CC44="*")), 1,"")</f>
        <v/>
      </c>
      <c r="CF43" s="41" t="str">
        <f>IF(AND(BZ43="*",CD44="*"),1,"")</f>
        <v/>
      </c>
      <c r="CG43" s="41" t="str">
        <f>IF(AND(CD44="*", OR(CA43="*", CB43="*",CC43="*")),1,"")</f>
        <v/>
      </c>
      <c r="CH43" s="41" t="str">
        <f>IF(AND(BZ44="*",OR(CA43="*",CB43="*",CC43="*",CD43="*")),1,IF(AND(CD43="*",OR(BZ44="*",CA44="*",CB44="*",CC44="*")),1,""))</f>
        <v/>
      </c>
      <c r="CI43" s="41" t="str">
        <f>IF(AND(CA43="*",OR(CA44="*",CB44="*",CC44="*")),1,IF(AND(CB43="*",OR(CA44="*",CB44="*",CC44="*")),1,IF(AND(CC43="*",OR(CA44="*",CB44="*",CC44="*")),1,"")))</f>
        <v/>
      </c>
      <c r="CJ43" s="41" t="str">
        <f>IF(AND(BZ43="*",BZ44="*"),1,"")</f>
        <v/>
      </c>
      <c r="CL43" s="41"/>
      <c r="CM43" s="41"/>
      <c r="CN43" s="41"/>
      <c r="CO43" s="41"/>
      <c r="CP43" s="41"/>
      <c r="CQ43" s="41" t="str">
        <f>IF(AND(CL43="*",OR(CM44="*",CN44="*",CO44="*")), 1,"")</f>
        <v/>
      </c>
      <c r="CR43" s="41" t="str">
        <f>IF(AND(CL43="*",CP44="*"),1,"")</f>
        <v/>
      </c>
      <c r="CS43" s="41" t="str">
        <f>IF(AND(CP44="*", OR(CM43="*", CN43="*",CO43="*")),1,"")</f>
        <v/>
      </c>
      <c r="CT43" s="41" t="str">
        <f>IF(AND(CL44="*",OR(CM43="*",CN43="*",CO43="*",CP43="*")),1,IF(AND(CP43="*",OR(CL44="*",CM44="*",CN44="*",CO44="*")),1,""))</f>
        <v/>
      </c>
      <c r="CU43" s="41" t="str">
        <f>IF(AND(CM43="*",OR(CM44="*",CN44="*",CO44="*")),1,IF(AND(CN43="*",OR(CM44="*",CN44="*",CO44="*")),1,IF(AND(CO43="*",OR(CM44="*",CN44="*",CO44="*")),1,"")))</f>
        <v/>
      </c>
      <c r="CV43" s="41" t="str">
        <f>IF(AND(CL43="*",CL44="*"),1,"")</f>
        <v/>
      </c>
      <c r="CX43" s="41"/>
      <c r="CY43" s="41"/>
      <c r="CZ43" s="41"/>
      <c r="DA43" s="41"/>
      <c r="DB43" s="41"/>
      <c r="DC43" s="41" t="str">
        <f>IF(AND(CX43="*",OR(CY44="*",CZ44="*",DA44="*")), 1,"")</f>
        <v/>
      </c>
      <c r="DD43" s="41" t="str">
        <f>IF(AND(CX43="*",DB44="*"),1,"")</f>
        <v/>
      </c>
      <c r="DE43" s="41" t="str">
        <f>IF(AND(DB44="*", OR(CY43="*", CZ43="*",DA43="*")),1,"")</f>
        <v/>
      </c>
      <c r="DF43" s="41" t="str">
        <f>IF(AND(CX44="*",OR(CY43="*",CZ43="*",DA43="*",DB43="*")),1,IF(AND(DB43="*",OR(CX44="*",CY44="*",CZ44="*",DA44="*")),1,""))</f>
        <v/>
      </c>
      <c r="DG43" s="41" t="str">
        <f>IF(AND(CY43="*",OR(CY44="*",CZ44="*",DA44="*")),1,IF(AND(CZ43="*",OR(CY44="*",CZ44="*",DA44="*")),1,IF(AND(DA43="*",OR(CY44="*",CZ44="*",DA44="*")),1,"")))</f>
        <v/>
      </c>
      <c r="DH43" s="41" t="str">
        <f>IF(AND(CX43="*",CX44="*"),1,"")</f>
        <v/>
      </c>
      <c r="DJ43" s="41"/>
      <c r="DK43" s="41"/>
      <c r="DL43" s="41"/>
      <c r="DM43" s="41"/>
      <c r="DN43" s="41"/>
      <c r="DO43" s="41" t="str">
        <f>IF(AND(DJ43="*",OR(DK44="*",DL44="*",DM44="*")), 1,"")</f>
        <v/>
      </c>
      <c r="DP43" s="41" t="str">
        <f>IF(AND(DJ43="*",DN44="*"),1,"")</f>
        <v/>
      </c>
      <c r="DQ43" s="41" t="str">
        <f>IF(AND(DN44="*", OR(DK43="*", DL43="*",DM43="*")),1,"")</f>
        <v/>
      </c>
      <c r="DR43" s="41" t="str">
        <f>IF(AND(DJ44="*",OR(DK43="*",DL43="*",DM43="*",DN43="*")),1,IF(AND(DN43="*",OR(DJ44="*",DK44="*",DL44="*",DM44="*")),1,""))</f>
        <v/>
      </c>
      <c r="DS43" s="41" t="str">
        <f>IF(AND(DK43="*",OR(DK44="*",DL44="*",DM44="*")),1,IF(AND(DL43="*",OR(DK44="*",DL44="*",DM44="*")),1,IF(AND(DM43="*",OR(DK44="*",DL44="*",DM44="*")),1,"")))</f>
        <v/>
      </c>
      <c r="DT43" s="41" t="str">
        <f>IF(AND(DJ43="*",DJ44="*"),1,"")</f>
        <v/>
      </c>
      <c r="DV43" s="41"/>
      <c r="DW43" s="41"/>
      <c r="DX43" s="41"/>
      <c r="DY43" s="41"/>
      <c r="DZ43" s="41"/>
      <c r="EA43" s="41" t="str">
        <f>IF(AND(DV43="*",OR(DW44="*",DX44="*",DY44="*")), 1,"")</f>
        <v/>
      </c>
      <c r="EB43" s="41" t="str">
        <f>IF(AND(DV43="*",DZ44="*"),1,"")</f>
        <v/>
      </c>
      <c r="EC43" s="41" t="str">
        <f>IF(AND(DZ44="*", OR(DW43="*", DX43="*",DY43="*")),1,"")</f>
        <v/>
      </c>
      <c r="ED43" s="41" t="str">
        <f>IF(AND(DV44="*",OR(DW43="*",DX43="*",DY43="*",DZ43="*")),1,IF(AND(DZ43="*",OR(DV44="*",DW44="*",DX44="*",DY44="*")),1,""))</f>
        <v/>
      </c>
      <c r="EE43" s="41" t="str">
        <f>IF(AND(DW43="*",OR(DW44="*",DX44="*",DY44="*")),1,IF(AND(DX43="*",OR(DW44="*",DX44="*",DY44="*")),1,IF(AND(DY43="*",OR(DW44="*",DX44="*",DY44="*")),1,"")))</f>
        <v/>
      </c>
      <c r="EF43" s="41" t="str">
        <f>IF(AND(DV43="*",DV44="*"),1,"")</f>
        <v/>
      </c>
      <c r="EH43" s="41"/>
      <c r="EI43" s="41"/>
      <c r="EJ43" s="41"/>
      <c r="EK43" s="41"/>
      <c r="EL43" s="41"/>
      <c r="EM43" s="41" t="str">
        <f>IF(AND(EH43="*",OR(EI44="*",EJ44="*",EK44="*")), 1,"")</f>
        <v/>
      </c>
      <c r="EN43" s="41" t="str">
        <f>IF(AND(EH43="*",EL44="*"),1,"")</f>
        <v/>
      </c>
      <c r="EO43" s="41" t="str">
        <f>IF(AND(EL44="*", OR(EI43="*", EJ43="*",EK43="*")),1,"")</f>
        <v/>
      </c>
      <c r="EP43" s="41" t="str">
        <f>IF(AND(EH44="*",OR(EI43="*",EJ43="*",EK43="*",EL43="*")),1,IF(AND(EL43="*",OR(EH44="*",EI44="*",EJ44="*",EK44="*")),1,""))</f>
        <v/>
      </c>
      <c r="EQ43" s="41" t="str">
        <f>IF(AND(EI43="*",OR(EI44="*",EJ44="*",EK44="*")),1,IF(AND(EJ43="*",OR(EI44="*",EJ44="*",EK44="*")),1,IF(AND(EK43="*",OR(EI44="*",EJ44="*",EK44="*")),1,"")))</f>
        <v/>
      </c>
      <c r="ER43" s="41" t="str">
        <f>IF(AND(EH43="*",EH44="*"),1,"")</f>
        <v/>
      </c>
      <c r="ET43" s="41"/>
      <c r="EU43" s="41"/>
      <c r="EV43" s="41"/>
      <c r="EW43" s="41"/>
      <c r="EX43" s="41"/>
      <c r="EY43" s="41" t="str">
        <f>IF(AND(ET43="*",OR(EU44="*",EV44="*",EW44="*")), 1,"")</f>
        <v/>
      </c>
      <c r="EZ43" s="41" t="str">
        <f>IF(AND(ET43="*",EX44="*"),1,"")</f>
        <v/>
      </c>
      <c r="FA43" s="41" t="str">
        <f>IF(AND(EX44="*", OR(EU43="*", EV43="*",EW43="*")),1,"")</f>
        <v/>
      </c>
      <c r="FB43" s="41" t="str">
        <f>IF(AND(ET44="*",OR(EU43="*",EV43="*",EW43="*",EX43="*")),1,IF(AND(EX43="*",OR(ET44="*",EU44="*",EV44="*",EW44="*")),1,""))</f>
        <v/>
      </c>
      <c r="FC43" s="41" t="str">
        <f>IF(AND(EU43="*",OR(EU44="*",EV44="*",EW44="*")),1,IF(AND(EV43="*",OR(EU44="*",EV44="*",EW44="*")),1,IF(AND(EW43="*",OR(EU44="*",EV44="*",EW44="*")),1,"")))</f>
        <v/>
      </c>
      <c r="FD43" s="41" t="str">
        <f>IF(AND(ET43="*",ET44="*"),1,"")</f>
        <v/>
      </c>
      <c r="FF43" s="41"/>
      <c r="FG43" s="41"/>
      <c r="FH43" s="41"/>
      <c r="FI43" s="41"/>
      <c r="FJ43" s="41"/>
      <c r="FK43" s="41" t="str">
        <f>IF(AND(FF43="*",OR(FG44="*",FH44="*",FI44="*")), 1,"")</f>
        <v/>
      </c>
      <c r="FL43" s="41" t="str">
        <f>IF(AND(FF43="*",FJ44="*"),1,"")</f>
        <v/>
      </c>
      <c r="FM43" s="41" t="str">
        <f>IF(AND(FJ44="*", OR(FG43="*", FH43="*",FI43="*")),1,"")</f>
        <v/>
      </c>
      <c r="FN43" s="41" t="str">
        <f>IF(AND(FF44="*",OR(FG43="*",FH43="*",FI43="*",FJ43="*")),1,IF(AND(FJ43="*",OR(FF44="*",FG44="*",FH44="*",FI44="*")),1,""))</f>
        <v/>
      </c>
      <c r="FO43" s="41" t="str">
        <f>IF(AND(FG43="*",OR(FG44="*",FH44="*",FI44="*")),1,IF(AND(FH43="*",OR(FG44="*",FH44="*",FI44="*")),1,IF(AND(FI43="*",OR(FG44="*",FH44="*",FI44="*")),1,"")))</f>
        <v/>
      </c>
      <c r="FP43" s="41" t="str">
        <f>IF(AND(FF43="*",FF44="*"),1,"")</f>
        <v/>
      </c>
      <c r="FR43" s="41"/>
      <c r="FS43" s="41"/>
      <c r="FT43" s="41"/>
      <c r="FU43" s="41"/>
      <c r="FV43" s="41"/>
      <c r="FW43" s="41" t="str">
        <f>IF(AND(FR43="*",OR(FS44="*",FT44="*",FU44="*")), 1,"")</f>
        <v/>
      </c>
      <c r="FX43" s="41" t="str">
        <f>IF(AND(FR43="*",FV44="*"),1,"")</f>
        <v/>
      </c>
      <c r="FY43" s="41" t="str">
        <f>IF(AND(FV44="*", OR(FS43="*", FT43="*",FU43="*")),1,"")</f>
        <v/>
      </c>
      <c r="FZ43" s="41" t="str">
        <f>IF(AND(FR44="*",OR(FS43="*",FT43="*",FU43="*",FV43="*")),1,IF(AND(FV43="*",OR(FR44="*",FS44="*",FT44="*",FU44="*")),1,""))</f>
        <v/>
      </c>
      <c r="GA43" s="41" t="str">
        <f>IF(AND(FS43="*",OR(FS44="*",FT44="*",FU44="*")),1,IF(AND(FT43="*",OR(FS44="*",FT44="*",FU44="*")),1,IF(AND(FU43="*",OR(FS44="*",FT44="*",FU44="*")),1,"")))</f>
        <v/>
      </c>
      <c r="GB43" s="41" t="str">
        <f>IF(AND(FR43="*",FR44="*"),1,"")</f>
        <v/>
      </c>
      <c r="GD43" s="41"/>
      <c r="GE43" s="41"/>
      <c r="GF43" s="41"/>
      <c r="GG43" s="41"/>
      <c r="GH43" s="41"/>
      <c r="GI43" s="41"/>
      <c r="GJ43" s="41" t="str">
        <f>IF(AND(GD43="*",OR(GE44="*",GF44="*",GG44="*")), 1,"")</f>
        <v/>
      </c>
      <c r="GK43" s="41" t="str">
        <f>IF(AND(GD43="*",GH44="*"),1,"")</f>
        <v/>
      </c>
      <c r="GL43" s="41" t="str">
        <f>IF(AND(GH44="*", OR(GE43="*", GF43="*",GG43="*")),1,"")</f>
        <v/>
      </c>
      <c r="GM43" s="41" t="str">
        <f>IF(AND(GD44="*",OR(GE43="*",GF43="*",GG43="*",GH43="*")),1,IF(AND(GH43="*",OR(GD44="*",GE44="*",GF44="*",GG44="*")),1,""))</f>
        <v/>
      </c>
      <c r="GN43" s="41" t="str">
        <f>IF(AND(GE43="*",OR(GE44="*",GF44="*",GG44="*")),1,IF(AND(GF43="*",OR(GE44="*",GF44="*",GG44="*")),1,IF(AND(GG43="*",OR(GE44="*",GF44="*",GG44="*")),1,"")))</f>
        <v/>
      </c>
      <c r="GO43" s="41" t="str">
        <f>IF(AND(GD43="*",GD44="*"),1,"")</f>
        <v/>
      </c>
      <c r="GQ43" s="41"/>
      <c r="GR43" s="41"/>
      <c r="GS43" s="41"/>
      <c r="GT43" s="41"/>
      <c r="GU43" s="41"/>
      <c r="GV43" s="41" t="str">
        <f>IF(AND(GQ43="*",OR(GR44="*",GS44="*",GT44="*")), 1,"")</f>
        <v/>
      </c>
      <c r="GW43" s="41" t="str">
        <f>IF(AND(GQ43="*",GU44="*"),1,"")</f>
        <v/>
      </c>
      <c r="GX43" s="41" t="str">
        <f>IF(AND(GU44="*", OR(GR43="*", GS43="*",GT43="*")),1,"")</f>
        <v/>
      </c>
      <c r="GY43" s="41" t="str">
        <f>IF(AND(GQ44="*",OR(GR43="*",GS43="*",GT43="*",GU43="*")),1,IF(AND(GU43="*",OR(GQ44="*",GR44="*",GS44="*",GT44="*")),1,""))</f>
        <v/>
      </c>
      <c r="GZ43" s="41" t="str">
        <f>IF(AND(GR43="*",OR(GR44="*",GS44="*",GT44="*")),1,IF(AND(GS43="*",OR(GR44="*",GS44="*",GT44="*")),1,IF(AND(GT43="*",OR(GR44="*",GS44="*",GT44="*")),1,"")))</f>
        <v/>
      </c>
      <c r="HA43" s="41" t="str">
        <f>IF(AND(GQ43="*",GQ44="*"),1,"")</f>
        <v/>
      </c>
      <c r="HC43" s="41"/>
      <c r="HD43" s="41"/>
      <c r="HE43" s="41"/>
      <c r="HF43" s="41"/>
      <c r="HG43" s="41"/>
      <c r="HH43" s="41" t="str">
        <f>IF(AND(HC43="*",OR(HD44="*",HE44="*",HF44="*")), 1,"")</f>
        <v/>
      </c>
      <c r="HI43" s="41" t="str">
        <f>IF(AND(HC43="*",HG44="*"),1,"")</f>
        <v/>
      </c>
      <c r="HJ43" s="41" t="str">
        <f>IF(AND(HG44="*", OR(HD43="*", HE43="*",HF43="*")),1,"")</f>
        <v/>
      </c>
      <c r="HK43" s="41" t="str">
        <f>IF(AND(HC44="*",OR(HD43="*",HE43="*",HF43="*",HG43="*")),1,IF(AND(HG43="*",OR(HC44="*",HD44="*",HE44="*",HF44="*")),1,""))</f>
        <v/>
      </c>
      <c r="HL43" s="41" t="str">
        <f>IF(AND(HD43="*",OR(HD44="*",HE44="*",HF44="*")),1,IF(AND(HE43="*",OR(HD44="*",HE44="*",HF44="*")),1,IF(AND(HF43="*",OR(HD44="*",HE44="*",HF44="*")),1,"")))</f>
        <v/>
      </c>
      <c r="HM43" s="41" t="str">
        <f>IF(AND(HC43="*",HC44="*"),1,"")</f>
        <v/>
      </c>
      <c r="HO43" s="41"/>
      <c r="HP43" s="41"/>
      <c r="HQ43" s="41"/>
      <c r="HR43" s="41"/>
      <c r="HS43" s="41"/>
      <c r="HT43" s="41" t="str">
        <f>IF(AND(HO43="*",OR(HP44="*",HQ44="*",HR44="*")), 1,"")</f>
        <v/>
      </c>
      <c r="HU43" s="41" t="str">
        <f>IF(AND(HO43="*",HS44="*"),1,"")</f>
        <v/>
      </c>
      <c r="HV43" s="41" t="str">
        <f>IF(AND(HS44="*", OR(HP43="*", HQ43="*",HR43="*")),1,"")</f>
        <v/>
      </c>
      <c r="HW43" s="41" t="str">
        <f>IF(AND(HO44="*",OR(HP43="*",HQ43="*",HR43="*",HS43="*")),1,IF(AND(HS43="*",OR(HO44="*",HP44="*",HQ44="*",HR44="*")),1,""))</f>
        <v/>
      </c>
      <c r="HX43" s="41" t="str">
        <f>IF(AND(HP43="*",OR(HP44="*",HQ44="*",HR44="*")),1,IF(AND(HQ43="*",OR(HP44="*",HQ44="*",HR44="*")),1,IF(AND(HR43="*",OR(HP44="*",HQ44="*",HR44="*")),1,"")))</f>
        <v/>
      </c>
      <c r="HY43" s="41" t="str">
        <f>IF(AND(HO43="*",HO44="*"),1,"")</f>
        <v/>
      </c>
      <c r="IA43" s="41"/>
      <c r="IB43" s="41"/>
      <c r="IC43" s="41"/>
      <c r="ID43" s="41"/>
      <c r="IE43" s="41"/>
      <c r="IF43" s="41" t="str">
        <f>IF(AND(IA43="*",OR(IB44="*",IC44="*",ID44="*")), 1,"")</f>
        <v/>
      </c>
      <c r="IG43" s="41" t="str">
        <f>IF(AND(IA43="*",IE44="*"),1,"")</f>
        <v/>
      </c>
      <c r="IH43" s="41" t="str">
        <f>IF(AND(IE44="*", OR(IB43="*", IC43="*",ID43="*")),1,"")</f>
        <v/>
      </c>
      <c r="II43" s="41" t="str">
        <f>IF(AND(IA44="*",OR(IB43="*",IC43="*",ID43="*",IE43="*")),1,IF(AND(IE43="*",OR(IA44="*",IB44="*",IC44="*",ID44="*")),1,""))</f>
        <v/>
      </c>
      <c r="IJ43" s="41" t="str">
        <f>IF(AND(IB43="*",OR(IB44="*",IC44="*",ID44="*")),1,IF(AND(IC43="*",OR(IB44="*",IC44="*",ID44="*")),1,IF(AND(ID43="*",OR(IB44="*",IC44="*",ID44="*")),1,"")))</f>
        <v/>
      </c>
      <c r="IK43" s="41" t="str">
        <f>IF(AND(IA43="*",IA44="*"),1,"")</f>
        <v/>
      </c>
      <c r="IL43" s="41">
        <f>COUNT(J43,V43,AH43,AT43,BF43,BS43,CE43,CQ43,DC43,DO43,EA43,EM43,EY43,FK43,FW43,GJ43,GV43,HH43,HT43,IF43)</f>
        <v>0</v>
      </c>
      <c r="IM43" s="41">
        <f t="shared" ref="IM43:IQ43" si="20">COUNT(K43,W43,AI43,AU43,BG43,BT43,CF43,CR43,DD43,DP43,EB43,EN43,EZ43,FL43,FX43,GK43,GW43,HI43,HU43,IG43)</f>
        <v>0</v>
      </c>
      <c r="IN43" s="41">
        <f t="shared" si="20"/>
        <v>0</v>
      </c>
      <c r="IO43" s="41">
        <f t="shared" si="20"/>
        <v>0</v>
      </c>
      <c r="IP43" s="41">
        <f t="shared" si="20"/>
        <v>0</v>
      </c>
      <c r="IQ43" s="41">
        <f t="shared" si="20"/>
        <v>0</v>
      </c>
    </row>
    <row r="44" spans="2:251" ht="15" customHeight="1" x14ac:dyDescent="0.4">
      <c r="B44" s="277"/>
      <c r="C44" s="279"/>
      <c r="D44" s="42" t="s">
        <v>52</v>
      </c>
      <c r="E44" s="41"/>
      <c r="F44" s="41"/>
      <c r="G44" s="41"/>
      <c r="H44" s="41"/>
      <c r="I44" s="41"/>
      <c r="J44" s="43"/>
      <c r="K44" s="43"/>
      <c r="L44" s="43"/>
      <c r="M44" s="43"/>
      <c r="N44" s="43"/>
      <c r="O44" s="43"/>
      <c r="Q44" s="41"/>
      <c r="R44" s="41"/>
      <c r="S44" s="41"/>
      <c r="T44" s="41"/>
      <c r="U44" s="41"/>
      <c r="V44" s="43"/>
      <c r="W44" s="43"/>
      <c r="X44" s="43"/>
      <c r="Y44" s="43"/>
      <c r="Z44" s="43"/>
      <c r="AA44" s="43"/>
      <c r="AC44" s="41"/>
      <c r="AD44" s="41"/>
      <c r="AE44" s="41"/>
      <c r="AF44" s="41"/>
      <c r="AG44" s="41"/>
      <c r="AH44" s="43"/>
      <c r="AI44" s="43"/>
      <c r="AJ44" s="43"/>
      <c r="AK44" s="43"/>
      <c r="AL44" s="43"/>
      <c r="AM44" s="43"/>
      <c r="AO44" s="41"/>
      <c r="AP44" s="41"/>
      <c r="AQ44" s="41"/>
      <c r="AR44" s="41"/>
      <c r="AS44" s="41"/>
      <c r="AT44" s="43"/>
      <c r="AU44" s="43"/>
      <c r="AV44" s="43"/>
      <c r="AW44" s="43"/>
      <c r="AX44" s="43"/>
      <c r="AY44" s="43"/>
      <c r="BA44" s="41"/>
      <c r="BB44" s="41"/>
      <c r="BC44" s="41"/>
      <c r="BD44" s="41"/>
      <c r="BE44" s="41"/>
      <c r="BF44" s="43"/>
      <c r="BG44" s="43"/>
      <c r="BH44" s="43"/>
      <c r="BI44" s="43"/>
      <c r="BJ44" s="43"/>
      <c r="BK44" s="43"/>
      <c r="BM44" s="41"/>
      <c r="BN44" s="41"/>
      <c r="BO44" s="41"/>
      <c r="BP44" s="41"/>
      <c r="BQ44" s="41"/>
      <c r="BR44" s="41"/>
      <c r="BS44" s="43"/>
      <c r="BT44" s="43"/>
      <c r="BU44" s="43"/>
      <c r="BV44" s="43"/>
      <c r="BW44" s="43"/>
      <c r="BX44" s="43"/>
      <c r="BZ44" s="41"/>
      <c r="CA44" s="41"/>
      <c r="CB44" s="41"/>
      <c r="CC44" s="41"/>
      <c r="CD44" s="41"/>
      <c r="CE44" s="43"/>
      <c r="CF44" s="43"/>
      <c r="CG44" s="43"/>
      <c r="CH44" s="43"/>
      <c r="CI44" s="43"/>
      <c r="CJ44" s="43"/>
      <c r="CL44" s="41"/>
      <c r="CM44" s="41"/>
      <c r="CN44" s="41"/>
      <c r="CO44" s="41"/>
      <c r="CP44" s="41"/>
      <c r="CQ44" s="43"/>
      <c r="CR44" s="43"/>
      <c r="CS44" s="43"/>
      <c r="CT44" s="43"/>
      <c r="CU44" s="43"/>
      <c r="CV44" s="43"/>
      <c r="CX44" s="41"/>
      <c r="CY44" s="41"/>
      <c r="CZ44" s="41"/>
      <c r="DA44" s="41"/>
      <c r="DB44" s="41"/>
      <c r="DC44" s="43"/>
      <c r="DD44" s="43"/>
      <c r="DE44" s="43"/>
      <c r="DF44" s="43"/>
      <c r="DG44" s="43"/>
      <c r="DH44" s="43"/>
      <c r="DJ44" s="41"/>
      <c r="DK44" s="41"/>
      <c r="DL44" s="41"/>
      <c r="DM44" s="41"/>
      <c r="DN44" s="41"/>
      <c r="DO44" s="43"/>
      <c r="DP44" s="43"/>
      <c r="DQ44" s="43"/>
      <c r="DR44" s="43"/>
      <c r="DS44" s="43"/>
      <c r="DT44" s="43"/>
      <c r="DV44" s="41"/>
      <c r="DW44" s="41"/>
      <c r="DX44" s="41"/>
      <c r="DY44" s="41"/>
      <c r="DZ44" s="41"/>
      <c r="EA44" s="43"/>
      <c r="EB44" s="43"/>
      <c r="EC44" s="43"/>
      <c r="ED44" s="43"/>
      <c r="EE44" s="43"/>
      <c r="EF44" s="43"/>
      <c r="EH44" s="41"/>
      <c r="EI44" s="41"/>
      <c r="EJ44" s="41"/>
      <c r="EK44" s="41"/>
      <c r="EL44" s="41"/>
      <c r="EM44" s="43"/>
      <c r="EN44" s="43"/>
      <c r="EO44" s="43"/>
      <c r="EP44" s="43"/>
      <c r="EQ44" s="43"/>
      <c r="ER44" s="43"/>
      <c r="ET44" s="41"/>
      <c r="EU44" s="41"/>
      <c r="EV44" s="41"/>
      <c r="EW44" s="41"/>
      <c r="EX44" s="41"/>
      <c r="EY44" s="43"/>
      <c r="EZ44" s="43"/>
      <c r="FA44" s="43"/>
      <c r="FB44" s="43"/>
      <c r="FC44" s="43"/>
      <c r="FD44" s="43"/>
      <c r="FF44" s="41"/>
      <c r="FG44" s="41"/>
      <c r="FH44" s="41"/>
      <c r="FI44" s="41"/>
      <c r="FJ44" s="41"/>
      <c r="FK44" s="43"/>
      <c r="FL44" s="43"/>
      <c r="FM44" s="43"/>
      <c r="FN44" s="43"/>
      <c r="FO44" s="43"/>
      <c r="FP44" s="43"/>
      <c r="FR44" s="41"/>
      <c r="FS44" s="41"/>
      <c r="FT44" s="41"/>
      <c r="FU44" s="41"/>
      <c r="FV44" s="41"/>
      <c r="FW44" s="43"/>
      <c r="FX44" s="43"/>
      <c r="FY44" s="43"/>
      <c r="FZ44" s="43"/>
      <c r="GA44" s="43"/>
      <c r="GB44" s="43"/>
      <c r="GD44" s="41"/>
      <c r="GE44" s="41"/>
      <c r="GF44" s="41"/>
      <c r="GG44" s="41"/>
      <c r="GH44" s="41"/>
      <c r="GI44" s="41"/>
      <c r="GJ44" s="43"/>
      <c r="GK44" s="43"/>
      <c r="GL44" s="43"/>
      <c r="GM44" s="43"/>
      <c r="GN44" s="43"/>
      <c r="GO44" s="43"/>
      <c r="GQ44" s="41"/>
      <c r="GR44" s="41"/>
      <c r="GS44" s="41"/>
      <c r="GT44" s="41"/>
      <c r="GU44" s="41"/>
      <c r="GV44" s="43"/>
      <c r="GW44" s="43"/>
      <c r="GX44" s="43"/>
      <c r="GY44" s="43"/>
      <c r="GZ44" s="43"/>
      <c r="HA44" s="43"/>
      <c r="HC44" s="41"/>
      <c r="HD44" s="41"/>
      <c r="HE44" s="41"/>
      <c r="HF44" s="41"/>
      <c r="HG44" s="41"/>
      <c r="HH44" s="43"/>
      <c r="HI44" s="43"/>
      <c r="HJ44" s="43"/>
      <c r="HK44" s="43"/>
      <c r="HL44" s="43"/>
      <c r="HM44" s="43"/>
      <c r="HO44" s="41"/>
      <c r="HP44" s="41"/>
      <c r="HQ44" s="41"/>
      <c r="HR44" s="41"/>
      <c r="HS44" s="41"/>
      <c r="HT44" s="43"/>
      <c r="HU44" s="43"/>
      <c r="HV44" s="43"/>
      <c r="HW44" s="43"/>
      <c r="HX44" s="43"/>
      <c r="HY44" s="43"/>
      <c r="IA44" s="41"/>
      <c r="IB44" s="41"/>
      <c r="IC44" s="41"/>
      <c r="ID44" s="41"/>
      <c r="IE44" s="41"/>
      <c r="IF44" s="43"/>
      <c r="IG44" s="43"/>
      <c r="IH44" s="43"/>
      <c r="II44" s="43"/>
      <c r="IJ44" s="43"/>
      <c r="IK44" s="43"/>
    </row>
    <row r="45" spans="2:251" ht="15" customHeight="1" x14ac:dyDescent="0.4">
      <c r="B45" s="273">
        <v>22</v>
      </c>
      <c r="C45" s="274">
        <f>고객요구사항도출표!C26</f>
        <v>0</v>
      </c>
      <c r="D45" s="40" t="s">
        <v>73</v>
      </c>
      <c r="E45" s="44"/>
      <c r="F45" s="44"/>
      <c r="G45" s="44"/>
      <c r="H45" s="44"/>
      <c r="I45" s="44"/>
      <c r="J45" s="44" t="str">
        <f>IF(AND(E45="*",OR(F46="*",G46="*",H46="*")), 1,"")</f>
        <v/>
      </c>
      <c r="K45" s="44" t="str">
        <f>IF(AND(E45="*",I46="*"),1,"")</f>
        <v/>
      </c>
      <c r="L45" s="44" t="str">
        <f>IF(AND(I46="*", OR(F45="*", G45="*",H45="*")),1,"")</f>
        <v/>
      </c>
      <c r="M45" s="44" t="str">
        <f>IF(AND(E46="*",OR(F45="*",G45="*",H45="*",I45="*")),1,IF(AND(I45="*",OR(E46="*",F46="*",G46="*",H46="*")),1,""))</f>
        <v/>
      </c>
      <c r="N45" s="44" t="str">
        <f>IF(AND(F45="*",OR(F46="*",G46="*",H46="*")),1,IF(AND(G45="*",OR(F46="*",G46="*",H46="*")),1,IF(AND(H45="*",OR(F46="*",G46="*",H46="*")),1,"")))</f>
        <v/>
      </c>
      <c r="O45" s="44" t="str">
        <f>IF(AND(E45="*",E46="*"),1,"")</f>
        <v/>
      </c>
      <c r="Q45" s="44"/>
      <c r="R45" s="44"/>
      <c r="S45" s="44"/>
      <c r="T45" s="44"/>
      <c r="U45" s="44"/>
      <c r="V45" s="44" t="str">
        <f>IF(AND(Q45="*",OR(R46="*",S46="*",T46="*")), 1,"")</f>
        <v/>
      </c>
      <c r="W45" s="44" t="str">
        <f>IF(AND(Q45="*",U46="*"),1,"")</f>
        <v/>
      </c>
      <c r="X45" s="44" t="str">
        <f>IF(AND(U46="*", OR(R45="*", S45="*",T45="*")),1,"")</f>
        <v/>
      </c>
      <c r="Y45" s="44" t="str">
        <f>IF(AND(Q46="*",OR(R45="*",S45="*",T45="*",U45="*")),1,IF(AND(U45="*",OR(Q46="*",R46="*",S46="*",T46="*")),1,""))</f>
        <v/>
      </c>
      <c r="Z45" s="44" t="str">
        <f>IF(AND(R45="*",OR(R46="*",S46="*",T46="*")),1,IF(AND(S45="*",OR(R46="*",S46="*",T46="*")),1,IF(AND(T45="*",OR(R46="*",S46="*",T46="*")),1,"")))</f>
        <v/>
      </c>
      <c r="AA45" s="44" t="str">
        <f>IF(AND(Q45="*",Q46="*"),1,"")</f>
        <v/>
      </c>
      <c r="AC45" s="44"/>
      <c r="AD45" s="44"/>
      <c r="AE45" s="44"/>
      <c r="AF45" s="44"/>
      <c r="AG45" s="44"/>
      <c r="AH45" s="44" t="str">
        <f>IF(AND(AC45="*",OR(AD46="*",AE46="*",AF46="*")), 1,"")</f>
        <v/>
      </c>
      <c r="AI45" s="44" t="str">
        <f>IF(AND(AC45="*",AG46="*"),1,"")</f>
        <v/>
      </c>
      <c r="AJ45" s="44" t="str">
        <f>IF(AND(AG46="*", OR(AD45="*", AE45="*",AF45="*")),1,"")</f>
        <v/>
      </c>
      <c r="AK45" s="44" t="str">
        <f>IF(AND(AC46="*",OR(AD45="*",AE45="*",AF45="*",AG45="*")),1,IF(AND(AG45="*",OR(AC46="*",AD46="*",AE46="*",AF46="*")),1,""))</f>
        <v/>
      </c>
      <c r="AL45" s="44" t="str">
        <f>IF(AND(AD45="*",OR(AD46="*",AE46="*",AF46="*")),1,IF(AND(AE45="*",OR(AD46="*",AE46="*",AF46="*")),1,IF(AND(AF45="*",OR(AD46="*",AE46="*",AF46="*")),1,"")))</f>
        <v/>
      </c>
      <c r="AM45" s="44" t="str">
        <f>IF(AND(AC45="*",AC46="*"),1,"")</f>
        <v/>
      </c>
      <c r="AO45" s="44"/>
      <c r="AP45" s="44"/>
      <c r="AQ45" s="44"/>
      <c r="AR45" s="44"/>
      <c r="AS45" s="44"/>
      <c r="AT45" s="44" t="str">
        <f>IF(AND(AO45="*",OR(AP46="*",AQ46="*",AR46="*")), 1,"")</f>
        <v/>
      </c>
      <c r="AU45" s="44" t="str">
        <f>IF(AND(AO45="*",AS46="*"),1,"")</f>
        <v/>
      </c>
      <c r="AV45" s="44" t="str">
        <f>IF(AND(AS46="*", OR(AP45="*", AQ45="*",AR45="*")),1,"")</f>
        <v/>
      </c>
      <c r="AW45" s="44" t="str">
        <f>IF(AND(AO46="*",OR(AP45="*",AQ45="*",AR45="*",AS45="*")),1,IF(AND(AS45="*",OR(AO46="*",AP46="*",AQ46="*",AR46="*")),1,""))</f>
        <v/>
      </c>
      <c r="AX45" s="44" t="str">
        <f>IF(AND(AP45="*",OR(AP46="*",AQ46="*",AR46="*")),1,IF(AND(AQ45="*",OR(AP46="*",AQ46="*",AR46="*")),1,IF(AND(AR45="*",OR(AP46="*",AQ46="*",AR46="*")),1,"")))</f>
        <v/>
      </c>
      <c r="AY45" s="44" t="str">
        <f>IF(AND(AO45="*",AO46="*"),1,"")</f>
        <v/>
      </c>
      <c r="BA45" s="44"/>
      <c r="BB45" s="44"/>
      <c r="BC45" s="44"/>
      <c r="BD45" s="44"/>
      <c r="BE45" s="44"/>
      <c r="BF45" s="44" t="str">
        <f>IF(AND(BA45="*",OR(BB46="*",BC46="*",BD46="*")), 1,"")</f>
        <v/>
      </c>
      <c r="BG45" s="44" t="str">
        <f>IF(AND(BA45="*",BE46="*"),1,"")</f>
        <v/>
      </c>
      <c r="BH45" s="44" t="str">
        <f>IF(AND(BE46="*", OR(BB45="*", BC45="*",BD45="*")),1,"")</f>
        <v/>
      </c>
      <c r="BI45" s="44" t="str">
        <f>IF(AND(BA46="*",OR(BB45="*",BC45="*",BD45="*",BE45="*")),1,IF(AND(BE45="*",OR(BA46="*",BB46="*",BC46="*",BD46="*")),1,""))</f>
        <v/>
      </c>
      <c r="BJ45" s="44" t="str">
        <f>IF(AND(BB45="*",OR(BB46="*",BC46="*",BD46="*")),1,IF(AND(BC45="*",OR(BB46="*",BC46="*",BD46="*")),1,IF(AND(BD45="*",OR(BB46="*",BC46="*",BD46="*")),1,"")))</f>
        <v/>
      </c>
      <c r="BK45" s="44" t="str">
        <f>IF(AND(BA45="*",BA46="*"),1,"")</f>
        <v/>
      </c>
      <c r="BM45" s="44"/>
      <c r="BN45" s="44"/>
      <c r="BO45" s="44"/>
      <c r="BP45" s="44"/>
      <c r="BQ45" s="44"/>
      <c r="BR45" s="44"/>
      <c r="BS45" s="44" t="str">
        <f>IF(AND(BM45="*",OR(BN46="*",BO46="*",BP46="*")), 1,"")</f>
        <v/>
      </c>
      <c r="BT45" s="44" t="str">
        <f>IF(AND(BM45="*",BQ46="*"),1,"")</f>
        <v/>
      </c>
      <c r="BU45" s="44" t="str">
        <f>IF(AND(BQ46="*", OR(BN45="*", BO45="*",BP45="*")),1,"")</f>
        <v/>
      </c>
      <c r="BV45" s="44" t="str">
        <f>IF(AND(BM46="*",OR(BN45="*",BO45="*",BP45="*",BQ45="*")),1,IF(AND(BQ45="*",OR(BM46="*",BN46="*",BO46="*",BP46="*")),1,""))</f>
        <v/>
      </c>
      <c r="BW45" s="44" t="str">
        <f>IF(AND(BN45="*",OR(BN46="*",BO46="*",BP46="*")),1,IF(AND(BO45="*",OR(BN46="*",BO46="*",BP46="*")),1,IF(AND(BP45="*",OR(BN46="*",BO46="*",BP46="*")),1,"")))</f>
        <v/>
      </c>
      <c r="BX45" s="44" t="str">
        <f>IF(AND(BM45="*",BM46="*"),1,"")</f>
        <v/>
      </c>
      <c r="BZ45" s="44"/>
      <c r="CA45" s="44"/>
      <c r="CB45" s="44"/>
      <c r="CC45" s="44"/>
      <c r="CD45" s="44"/>
      <c r="CE45" s="44" t="str">
        <f>IF(AND(BZ45="*",OR(CA46="*",CB46="*",CC46="*")), 1,"")</f>
        <v/>
      </c>
      <c r="CF45" s="44" t="str">
        <f>IF(AND(BZ45="*",CD46="*"),1,"")</f>
        <v/>
      </c>
      <c r="CG45" s="44" t="str">
        <f>IF(AND(CD46="*", OR(CA45="*", CB45="*",CC45="*")),1,"")</f>
        <v/>
      </c>
      <c r="CH45" s="44" t="str">
        <f>IF(AND(BZ46="*",OR(CA45="*",CB45="*",CC45="*",CD45="*")),1,IF(AND(CD45="*",OR(BZ46="*",CA46="*",CB46="*",CC46="*")),1,""))</f>
        <v/>
      </c>
      <c r="CI45" s="44" t="str">
        <f>IF(AND(CA45="*",OR(CA46="*",CB46="*",CC46="*")),1,IF(AND(CB45="*",OR(CA46="*",CB46="*",CC46="*")),1,IF(AND(CC45="*",OR(CA46="*",CB46="*",CC46="*")),1,"")))</f>
        <v/>
      </c>
      <c r="CJ45" s="44" t="str">
        <f>IF(AND(BZ45="*",BZ46="*"),1,"")</f>
        <v/>
      </c>
      <c r="CL45" s="44"/>
      <c r="CM45" s="44"/>
      <c r="CN45" s="44"/>
      <c r="CO45" s="44"/>
      <c r="CP45" s="44"/>
      <c r="CQ45" s="44" t="str">
        <f>IF(AND(CL45="*",OR(CM46="*",CN46="*",CO46="*")), 1,"")</f>
        <v/>
      </c>
      <c r="CR45" s="44" t="str">
        <f>IF(AND(CL45="*",CP46="*"),1,"")</f>
        <v/>
      </c>
      <c r="CS45" s="44" t="str">
        <f>IF(AND(CP46="*", OR(CM45="*", CN45="*",CO45="*")),1,"")</f>
        <v/>
      </c>
      <c r="CT45" s="44" t="str">
        <f>IF(AND(CL46="*",OR(CM45="*",CN45="*",CO45="*",CP45="*")),1,IF(AND(CP45="*",OR(CL46="*",CM46="*",CN46="*",CO46="*")),1,""))</f>
        <v/>
      </c>
      <c r="CU45" s="44" t="str">
        <f>IF(AND(CM45="*",OR(CM46="*",CN46="*",CO46="*")),1,IF(AND(CN45="*",OR(CM46="*",CN46="*",CO46="*")),1,IF(AND(CO45="*",OR(CM46="*",CN46="*",CO46="*")),1,"")))</f>
        <v/>
      </c>
      <c r="CV45" s="44" t="str">
        <f>IF(AND(CL45="*",CL46="*"),1,"")</f>
        <v/>
      </c>
      <c r="CX45" s="44"/>
      <c r="CY45" s="44"/>
      <c r="CZ45" s="44"/>
      <c r="DA45" s="44"/>
      <c r="DB45" s="44"/>
      <c r="DC45" s="44" t="str">
        <f>IF(AND(CX45="*",OR(CY46="*",CZ46="*",DA46="*")), 1,"")</f>
        <v/>
      </c>
      <c r="DD45" s="44" t="str">
        <f>IF(AND(CX45="*",DB46="*"),1,"")</f>
        <v/>
      </c>
      <c r="DE45" s="44" t="str">
        <f>IF(AND(DB46="*", OR(CY45="*", CZ45="*",DA45="*")),1,"")</f>
        <v/>
      </c>
      <c r="DF45" s="44" t="str">
        <f>IF(AND(CX46="*",OR(CY45="*",CZ45="*",DA45="*",DB45="*")),1,IF(AND(DB45="*",OR(CX46="*",CY46="*",CZ46="*",DA46="*")),1,""))</f>
        <v/>
      </c>
      <c r="DG45" s="44" t="str">
        <f>IF(AND(CY45="*",OR(CY46="*",CZ46="*",DA46="*")),1,IF(AND(CZ45="*",OR(CY46="*",CZ46="*",DA46="*")),1,IF(AND(DA45="*",OR(CY46="*",CZ46="*",DA46="*")),1,"")))</f>
        <v/>
      </c>
      <c r="DH45" s="44" t="str">
        <f>IF(AND(CX45="*",CX46="*"),1,"")</f>
        <v/>
      </c>
      <c r="DJ45" s="44"/>
      <c r="DK45" s="44"/>
      <c r="DL45" s="44"/>
      <c r="DM45" s="44"/>
      <c r="DN45" s="44"/>
      <c r="DO45" s="44" t="str">
        <f>IF(AND(DJ45="*",OR(DK46="*",DL46="*",DM46="*")), 1,"")</f>
        <v/>
      </c>
      <c r="DP45" s="44" t="str">
        <f>IF(AND(DJ45="*",DN46="*"),1,"")</f>
        <v/>
      </c>
      <c r="DQ45" s="44" t="str">
        <f>IF(AND(DN46="*", OR(DK45="*", DL45="*",DM45="*")),1,"")</f>
        <v/>
      </c>
      <c r="DR45" s="44" t="str">
        <f>IF(AND(DJ46="*",OR(DK45="*",DL45="*",DM45="*",DN45="*")),1,IF(AND(DN45="*",OR(DJ46="*",DK46="*",DL46="*",DM46="*")),1,""))</f>
        <v/>
      </c>
      <c r="DS45" s="44" t="str">
        <f>IF(AND(DK45="*",OR(DK46="*",DL46="*",DM46="*")),1,IF(AND(DL45="*",OR(DK46="*",DL46="*",DM46="*")),1,IF(AND(DM45="*",OR(DK46="*",DL46="*",DM46="*")),1,"")))</f>
        <v/>
      </c>
      <c r="DT45" s="44" t="str">
        <f>IF(AND(DJ45="*",DJ46="*"),1,"")</f>
        <v/>
      </c>
      <c r="DV45" s="44"/>
      <c r="DW45" s="44"/>
      <c r="DX45" s="44"/>
      <c r="DY45" s="44"/>
      <c r="DZ45" s="44"/>
      <c r="EA45" s="44" t="str">
        <f>IF(AND(DV45="*",OR(DW46="*",DX46="*",DY46="*")), 1,"")</f>
        <v/>
      </c>
      <c r="EB45" s="44" t="str">
        <f>IF(AND(DV45="*",DZ46="*"),1,"")</f>
        <v/>
      </c>
      <c r="EC45" s="44" t="str">
        <f>IF(AND(DZ46="*", OR(DW45="*", DX45="*",DY45="*")),1,"")</f>
        <v/>
      </c>
      <c r="ED45" s="44" t="str">
        <f>IF(AND(DV46="*",OR(DW45="*",DX45="*",DY45="*",DZ45="*")),1,IF(AND(DZ45="*",OR(DV46="*",DW46="*",DX46="*",DY46="*")),1,""))</f>
        <v/>
      </c>
      <c r="EE45" s="44" t="str">
        <f>IF(AND(DW45="*",OR(DW46="*",DX46="*",DY46="*")),1,IF(AND(DX45="*",OR(DW46="*",DX46="*",DY46="*")),1,IF(AND(DY45="*",OR(DW46="*",DX46="*",DY46="*")),1,"")))</f>
        <v/>
      </c>
      <c r="EF45" s="44" t="str">
        <f>IF(AND(DV45="*",DV46="*"),1,"")</f>
        <v/>
      </c>
      <c r="EH45" s="44"/>
      <c r="EI45" s="44"/>
      <c r="EJ45" s="44"/>
      <c r="EK45" s="44"/>
      <c r="EL45" s="44"/>
      <c r="EM45" s="44" t="str">
        <f>IF(AND(EH45="*",OR(EI46="*",EJ46="*",EK46="*")), 1,"")</f>
        <v/>
      </c>
      <c r="EN45" s="44" t="str">
        <f>IF(AND(EH45="*",EL46="*"),1,"")</f>
        <v/>
      </c>
      <c r="EO45" s="44" t="str">
        <f>IF(AND(EL46="*", OR(EI45="*", EJ45="*",EK45="*")),1,"")</f>
        <v/>
      </c>
      <c r="EP45" s="44" t="str">
        <f>IF(AND(EH46="*",OR(EI45="*",EJ45="*",EK45="*",EL45="*")),1,IF(AND(EL45="*",OR(EH46="*",EI46="*",EJ46="*",EK46="*")),1,""))</f>
        <v/>
      </c>
      <c r="EQ45" s="44" t="str">
        <f>IF(AND(EI45="*",OR(EI46="*",EJ46="*",EK46="*")),1,IF(AND(EJ45="*",OR(EI46="*",EJ46="*",EK46="*")),1,IF(AND(EK45="*",OR(EI46="*",EJ46="*",EK46="*")),1,"")))</f>
        <v/>
      </c>
      <c r="ER45" s="44" t="str">
        <f>IF(AND(EH45="*",EH46="*"),1,"")</f>
        <v/>
      </c>
      <c r="ET45" s="44"/>
      <c r="EU45" s="44"/>
      <c r="EV45" s="44"/>
      <c r="EW45" s="44"/>
      <c r="EX45" s="44"/>
      <c r="EY45" s="44" t="str">
        <f>IF(AND(ET45="*",OR(EU46="*",EV46="*",EW46="*")), 1,"")</f>
        <v/>
      </c>
      <c r="EZ45" s="44" t="str">
        <f>IF(AND(ET45="*",EX46="*"),1,"")</f>
        <v/>
      </c>
      <c r="FA45" s="44" t="str">
        <f>IF(AND(EX46="*", OR(EU45="*", EV45="*",EW45="*")),1,"")</f>
        <v/>
      </c>
      <c r="FB45" s="44" t="str">
        <f>IF(AND(ET46="*",OR(EU45="*",EV45="*",EW45="*",EX45="*")),1,IF(AND(EX45="*",OR(ET46="*",EU46="*",EV46="*",EW46="*")),1,""))</f>
        <v/>
      </c>
      <c r="FC45" s="44" t="str">
        <f>IF(AND(EU45="*",OR(EU46="*",EV46="*",EW46="*")),1,IF(AND(EV45="*",OR(EU46="*",EV46="*",EW46="*")),1,IF(AND(EW45="*",OR(EU46="*",EV46="*",EW46="*")),1,"")))</f>
        <v/>
      </c>
      <c r="FD45" s="44" t="str">
        <f>IF(AND(ET45="*",ET46="*"),1,"")</f>
        <v/>
      </c>
      <c r="FF45" s="44"/>
      <c r="FG45" s="44"/>
      <c r="FH45" s="44"/>
      <c r="FI45" s="44"/>
      <c r="FJ45" s="44"/>
      <c r="FK45" s="44" t="str">
        <f>IF(AND(FF45="*",OR(FG46="*",FH46="*",FI46="*")), 1,"")</f>
        <v/>
      </c>
      <c r="FL45" s="44" t="str">
        <f>IF(AND(FF45="*",FJ46="*"),1,"")</f>
        <v/>
      </c>
      <c r="FM45" s="44" t="str">
        <f>IF(AND(FJ46="*", OR(FG45="*", FH45="*",FI45="*")),1,"")</f>
        <v/>
      </c>
      <c r="FN45" s="44" t="str">
        <f>IF(AND(FF46="*",OR(FG45="*",FH45="*",FI45="*",FJ45="*")),1,IF(AND(FJ45="*",OR(FF46="*",FG46="*",FH46="*",FI46="*")),1,""))</f>
        <v/>
      </c>
      <c r="FO45" s="44" t="str">
        <f>IF(AND(FG45="*",OR(FG46="*",FH46="*",FI46="*")),1,IF(AND(FH45="*",OR(FG46="*",FH46="*",FI46="*")),1,IF(AND(FI45="*",OR(FG46="*",FH46="*",FI46="*")),1,"")))</f>
        <v/>
      </c>
      <c r="FP45" s="44" t="str">
        <f>IF(AND(FF45="*",FF46="*"),1,"")</f>
        <v/>
      </c>
      <c r="FR45" s="44"/>
      <c r="FS45" s="44"/>
      <c r="FT45" s="44"/>
      <c r="FU45" s="44"/>
      <c r="FV45" s="44"/>
      <c r="FW45" s="44" t="str">
        <f>IF(AND(FR45="*",OR(FS46="*",FT46="*",FU46="*")), 1,"")</f>
        <v/>
      </c>
      <c r="FX45" s="44" t="str">
        <f>IF(AND(FR45="*",FV46="*"),1,"")</f>
        <v/>
      </c>
      <c r="FY45" s="44" t="str">
        <f>IF(AND(FV46="*", OR(FS45="*", FT45="*",FU45="*")),1,"")</f>
        <v/>
      </c>
      <c r="FZ45" s="44" t="str">
        <f>IF(AND(FR46="*",OR(FS45="*",FT45="*",FU45="*",FV45="*")),1,IF(AND(FV45="*",OR(FR46="*",FS46="*",FT46="*",FU46="*")),1,""))</f>
        <v/>
      </c>
      <c r="GA45" s="44" t="str">
        <f>IF(AND(FS45="*",OR(FS46="*",FT46="*",FU46="*")),1,IF(AND(FT45="*",OR(FS46="*",FT46="*",FU46="*")),1,IF(AND(FU45="*",OR(FS46="*",FT46="*",FU46="*")),1,"")))</f>
        <v/>
      </c>
      <c r="GB45" s="44" t="str">
        <f>IF(AND(FR45="*",FR46="*"),1,"")</f>
        <v/>
      </c>
      <c r="GD45" s="44"/>
      <c r="GE45" s="44"/>
      <c r="GF45" s="44"/>
      <c r="GG45" s="44"/>
      <c r="GH45" s="44"/>
      <c r="GI45" s="44"/>
      <c r="GJ45" s="44" t="str">
        <f>IF(AND(GD45="*",OR(GE46="*",GF46="*",GG46="*")), 1,"")</f>
        <v/>
      </c>
      <c r="GK45" s="44" t="str">
        <f>IF(AND(GD45="*",GH46="*"),1,"")</f>
        <v/>
      </c>
      <c r="GL45" s="44" t="str">
        <f>IF(AND(GH46="*", OR(GE45="*", GF45="*",GG45="*")),1,"")</f>
        <v/>
      </c>
      <c r="GM45" s="44" t="str">
        <f>IF(AND(GD46="*",OR(GE45="*",GF45="*",GG45="*",GH45="*")),1,IF(AND(GH45="*",OR(GD46="*",GE46="*",GF46="*",GG46="*")),1,""))</f>
        <v/>
      </c>
      <c r="GN45" s="44" t="str">
        <f>IF(AND(GE45="*",OR(GE46="*",GF46="*",GG46="*")),1,IF(AND(GF45="*",OR(GE46="*",GF46="*",GG46="*")),1,IF(AND(GG45="*",OR(GE46="*",GF46="*",GG46="*")),1,"")))</f>
        <v/>
      </c>
      <c r="GO45" s="44" t="str">
        <f>IF(AND(GD45="*",GD46="*"),1,"")</f>
        <v/>
      </c>
      <c r="GQ45" s="44"/>
      <c r="GR45" s="44"/>
      <c r="GS45" s="44"/>
      <c r="GT45" s="44"/>
      <c r="GU45" s="44"/>
      <c r="GV45" s="44" t="str">
        <f>IF(AND(GQ45="*",OR(GR46="*",GS46="*",GT46="*")), 1,"")</f>
        <v/>
      </c>
      <c r="GW45" s="44" t="str">
        <f>IF(AND(GQ45="*",GU46="*"),1,"")</f>
        <v/>
      </c>
      <c r="GX45" s="44" t="str">
        <f>IF(AND(GU46="*", OR(GR45="*", GS45="*",GT45="*")),1,"")</f>
        <v/>
      </c>
      <c r="GY45" s="44" t="str">
        <f>IF(AND(GQ46="*",OR(GR45="*",GS45="*",GT45="*",GU45="*")),1,IF(AND(GU45="*",OR(GQ46="*",GR46="*",GS46="*",GT46="*")),1,""))</f>
        <v/>
      </c>
      <c r="GZ45" s="44" t="str">
        <f>IF(AND(GR45="*",OR(GR46="*",GS46="*",GT46="*")),1,IF(AND(GS45="*",OR(GR46="*",GS46="*",GT46="*")),1,IF(AND(GT45="*",OR(GR46="*",GS46="*",GT46="*")),1,"")))</f>
        <v/>
      </c>
      <c r="HA45" s="44" t="str">
        <f>IF(AND(GQ45="*",GQ46="*"),1,"")</f>
        <v/>
      </c>
      <c r="HC45" s="44"/>
      <c r="HD45" s="44"/>
      <c r="HE45" s="44"/>
      <c r="HF45" s="44"/>
      <c r="HG45" s="44"/>
      <c r="HH45" s="44" t="str">
        <f>IF(AND(HC45="*",OR(HD46="*",HE46="*",HF46="*")), 1,"")</f>
        <v/>
      </c>
      <c r="HI45" s="44" t="str">
        <f>IF(AND(HC45="*",HG46="*"),1,"")</f>
        <v/>
      </c>
      <c r="HJ45" s="44" t="str">
        <f>IF(AND(HG46="*", OR(HD45="*", HE45="*",HF45="*")),1,"")</f>
        <v/>
      </c>
      <c r="HK45" s="44" t="str">
        <f>IF(AND(HC46="*",OR(HD45="*",HE45="*",HF45="*",HG45="*")),1,IF(AND(HG45="*",OR(HC46="*",HD46="*",HE46="*",HF46="*")),1,""))</f>
        <v/>
      </c>
      <c r="HL45" s="44" t="str">
        <f>IF(AND(HD45="*",OR(HD46="*",HE46="*",HF46="*")),1,IF(AND(HE45="*",OR(HD46="*",HE46="*",HF46="*")),1,IF(AND(HF45="*",OR(HD46="*",HE46="*",HF46="*")),1,"")))</f>
        <v/>
      </c>
      <c r="HM45" s="44" t="str">
        <f>IF(AND(HC45="*",HC46="*"),1,"")</f>
        <v/>
      </c>
      <c r="HO45" s="44"/>
      <c r="HP45" s="44"/>
      <c r="HQ45" s="44"/>
      <c r="HR45" s="44"/>
      <c r="HS45" s="44"/>
      <c r="HT45" s="44" t="str">
        <f>IF(AND(HO45="*",OR(HP46="*",HQ46="*",HR46="*")), 1,"")</f>
        <v/>
      </c>
      <c r="HU45" s="44" t="str">
        <f>IF(AND(HO45="*",HS46="*"),1,"")</f>
        <v/>
      </c>
      <c r="HV45" s="44" t="str">
        <f>IF(AND(HS46="*", OR(HP45="*", HQ45="*",HR45="*")),1,"")</f>
        <v/>
      </c>
      <c r="HW45" s="44" t="str">
        <f>IF(AND(HO46="*",OR(HP45="*",HQ45="*",HR45="*",HS45="*")),1,IF(AND(HS45="*",OR(HO46="*",HP46="*",HQ46="*",HR46="*")),1,""))</f>
        <v/>
      </c>
      <c r="HX45" s="44" t="str">
        <f>IF(AND(HP45="*",OR(HP46="*",HQ46="*",HR46="*")),1,IF(AND(HQ45="*",OR(HP46="*",HQ46="*",HR46="*")),1,IF(AND(HR45="*",OR(HP46="*",HQ46="*",HR46="*")),1,"")))</f>
        <v/>
      </c>
      <c r="HY45" s="44" t="str">
        <f>IF(AND(HO45="*",HO46="*"),1,"")</f>
        <v/>
      </c>
      <c r="IA45" s="44"/>
      <c r="IB45" s="44"/>
      <c r="IC45" s="44"/>
      <c r="ID45" s="44"/>
      <c r="IE45" s="44"/>
      <c r="IF45" s="44" t="str">
        <f>IF(AND(IA45="*",OR(IB46="*",IC46="*",ID46="*")), 1,"")</f>
        <v/>
      </c>
      <c r="IG45" s="44" t="str">
        <f>IF(AND(IA45="*",IE46="*"),1,"")</f>
        <v/>
      </c>
      <c r="IH45" s="44" t="str">
        <f>IF(AND(IE46="*", OR(IB45="*", IC45="*",ID45="*")),1,"")</f>
        <v/>
      </c>
      <c r="II45" s="44" t="str">
        <f>IF(AND(IA46="*",OR(IB45="*",IC45="*",ID45="*",IE45="*")),1,IF(AND(IE45="*",OR(IA46="*",IB46="*",IC46="*",ID46="*")),1,""))</f>
        <v/>
      </c>
      <c r="IJ45" s="44" t="str">
        <f>IF(AND(IB45="*",OR(IB46="*",IC46="*",ID46="*")),1,IF(AND(IC45="*",OR(IB46="*",IC46="*",ID46="*")),1,IF(AND(ID45="*",OR(IB46="*",IC46="*",ID46="*")),1,"")))</f>
        <v/>
      </c>
      <c r="IK45" s="44" t="str">
        <f>IF(AND(IA45="*",IA46="*"),1,"")</f>
        <v/>
      </c>
      <c r="IL45" s="44">
        <f>COUNT(J45,V45,AH45,AT45,BF45,BS45,CE45,CQ45,DC45,DO45,EA45,EM45,EY45,FK45,FW45,GJ45,GV45,HH45,HT45,IF45)</f>
        <v>0</v>
      </c>
      <c r="IM45" s="44">
        <f t="shared" ref="IM45:IQ45" si="21">COUNT(K45,W45,AI45,AU45,BG45,BT45,CF45,CR45,DD45,DP45,EB45,EN45,EZ45,FL45,FX45,GK45,GW45,HI45,HU45,IG45)</f>
        <v>0</v>
      </c>
      <c r="IN45" s="44">
        <f t="shared" si="21"/>
        <v>0</v>
      </c>
      <c r="IO45" s="44">
        <f t="shared" si="21"/>
        <v>0</v>
      </c>
      <c r="IP45" s="44">
        <f t="shared" si="21"/>
        <v>0</v>
      </c>
      <c r="IQ45" s="44">
        <f t="shared" si="21"/>
        <v>0</v>
      </c>
    </row>
    <row r="46" spans="2:251" ht="15" customHeight="1" x14ac:dyDescent="0.4">
      <c r="B46" s="273"/>
      <c r="C46" s="275"/>
      <c r="D46" s="42" t="s">
        <v>74</v>
      </c>
      <c r="E46" s="44"/>
      <c r="F46" s="44"/>
      <c r="G46" s="44"/>
      <c r="H46" s="44"/>
      <c r="I46" s="44"/>
      <c r="J46" s="43"/>
      <c r="K46" s="43"/>
      <c r="L46" s="43"/>
      <c r="M46" s="43"/>
      <c r="N46" s="43"/>
      <c r="O46" s="43"/>
      <c r="Q46" s="44"/>
      <c r="R46" s="44"/>
      <c r="S46" s="44"/>
      <c r="T46" s="44"/>
      <c r="U46" s="44"/>
      <c r="V46" s="43"/>
      <c r="W46" s="43"/>
      <c r="X46" s="43"/>
      <c r="Y46" s="43"/>
      <c r="Z46" s="43"/>
      <c r="AA46" s="43"/>
      <c r="AC46" s="44"/>
      <c r="AD46" s="44"/>
      <c r="AE46" s="44"/>
      <c r="AF46" s="44"/>
      <c r="AG46" s="44"/>
      <c r="AH46" s="43"/>
      <c r="AI46" s="43"/>
      <c r="AJ46" s="43"/>
      <c r="AK46" s="43"/>
      <c r="AL46" s="43"/>
      <c r="AM46" s="43"/>
      <c r="AO46" s="44"/>
      <c r="AP46" s="44"/>
      <c r="AQ46" s="44"/>
      <c r="AR46" s="44"/>
      <c r="AS46" s="44"/>
      <c r="AT46" s="43"/>
      <c r="AU46" s="43"/>
      <c r="AV46" s="43"/>
      <c r="AW46" s="43"/>
      <c r="AX46" s="43"/>
      <c r="AY46" s="43"/>
      <c r="BA46" s="44"/>
      <c r="BB46" s="44"/>
      <c r="BC46" s="44"/>
      <c r="BD46" s="44"/>
      <c r="BE46" s="44"/>
      <c r="BF46" s="43"/>
      <c r="BG46" s="43"/>
      <c r="BH46" s="43"/>
      <c r="BI46" s="43"/>
      <c r="BJ46" s="43"/>
      <c r="BK46" s="43"/>
      <c r="BM46" s="44"/>
      <c r="BN46" s="44"/>
      <c r="BO46" s="44"/>
      <c r="BP46" s="44"/>
      <c r="BQ46" s="44"/>
      <c r="BR46" s="44"/>
      <c r="BS46" s="43"/>
      <c r="BT46" s="43"/>
      <c r="BU46" s="43"/>
      <c r="BV46" s="43"/>
      <c r="BW46" s="43"/>
      <c r="BX46" s="43"/>
      <c r="BZ46" s="44"/>
      <c r="CA46" s="44"/>
      <c r="CB46" s="44"/>
      <c r="CC46" s="44"/>
      <c r="CD46" s="44"/>
      <c r="CE46" s="43"/>
      <c r="CF46" s="43"/>
      <c r="CG46" s="43"/>
      <c r="CH46" s="43"/>
      <c r="CI46" s="43"/>
      <c r="CJ46" s="43"/>
      <c r="CL46" s="44"/>
      <c r="CM46" s="44"/>
      <c r="CN46" s="44"/>
      <c r="CO46" s="44"/>
      <c r="CP46" s="44"/>
      <c r="CQ46" s="43"/>
      <c r="CR46" s="43"/>
      <c r="CS46" s="43"/>
      <c r="CT46" s="43"/>
      <c r="CU46" s="43"/>
      <c r="CV46" s="43"/>
      <c r="CX46" s="44"/>
      <c r="CY46" s="44"/>
      <c r="CZ46" s="44"/>
      <c r="DA46" s="44"/>
      <c r="DB46" s="44"/>
      <c r="DC46" s="43"/>
      <c r="DD46" s="43"/>
      <c r="DE46" s="43"/>
      <c r="DF46" s="43"/>
      <c r="DG46" s="43"/>
      <c r="DH46" s="43"/>
      <c r="DJ46" s="44"/>
      <c r="DK46" s="44"/>
      <c r="DL46" s="44"/>
      <c r="DM46" s="44"/>
      <c r="DN46" s="44"/>
      <c r="DO46" s="43"/>
      <c r="DP46" s="43"/>
      <c r="DQ46" s="43"/>
      <c r="DR46" s="43"/>
      <c r="DS46" s="43"/>
      <c r="DT46" s="43"/>
      <c r="DV46" s="44"/>
      <c r="DW46" s="44"/>
      <c r="DX46" s="44"/>
      <c r="DY46" s="44"/>
      <c r="DZ46" s="44"/>
      <c r="EA46" s="43"/>
      <c r="EB46" s="43"/>
      <c r="EC46" s="43"/>
      <c r="ED46" s="43"/>
      <c r="EE46" s="43"/>
      <c r="EF46" s="43"/>
      <c r="EH46" s="44"/>
      <c r="EI46" s="44"/>
      <c r="EJ46" s="44"/>
      <c r="EK46" s="44"/>
      <c r="EL46" s="44"/>
      <c r="EM46" s="43"/>
      <c r="EN46" s="43"/>
      <c r="EO46" s="43"/>
      <c r="EP46" s="43"/>
      <c r="EQ46" s="43"/>
      <c r="ER46" s="43"/>
      <c r="ET46" s="44"/>
      <c r="EU46" s="44"/>
      <c r="EV46" s="44"/>
      <c r="EW46" s="44"/>
      <c r="EX46" s="44"/>
      <c r="EY46" s="43"/>
      <c r="EZ46" s="43"/>
      <c r="FA46" s="43"/>
      <c r="FB46" s="43"/>
      <c r="FC46" s="43"/>
      <c r="FD46" s="43"/>
      <c r="FF46" s="44"/>
      <c r="FG46" s="44"/>
      <c r="FH46" s="44"/>
      <c r="FI46" s="44"/>
      <c r="FJ46" s="44"/>
      <c r="FK46" s="43"/>
      <c r="FL46" s="43"/>
      <c r="FM46" s="43"/>
      <c r="FN46" s="43"/>
      <c r="FO46" s="43"/>
      <c r="FP46" s="43"/>
      <c r="FR46" s="44"/>
      <c r="FS46" s="44"/>
      <c r="FT46" s="44"/>
      <c r="FU46" s="44"/>
      <c r="FV46" s="44"/>
      <c r="FW46" s="43"/>
      <c r="FX46" s="43"/>
      <c r="FY46" s="43"/>
      <c r="FZ46" s="43"/>
      <c r="GA46" s="43"/>
      <c r="GB46" s="43"/>
      <c r="GD46" s="44"/>
      <c r="GE46" s="44"/>
      <c r="GF46" s="44"/>
      <c r="GG46" s="44"/>
      <c r="GH46" s="44"/>
      <c r="GI46" s="44"/>
      <c r="GJ46" s="43"/>
      <c r="GK46" s="43"/>
      <c r="GL46" s="43"/>
      <c r="GM46" s="43"/>
      <c r="GN46" s="43"/>
      <c r="GO46" s="43"/>
      <c r="GQ46" s="44"/>
      <c r="GR46" s="44"/>
      <c r="GS46" s="44"/>
      <c r="GT46" s="44"/>
      <c r="GU46" s="44"/>
      <c r="GV46" s="43"/>
      <c r="GW46" s="43"/>
      <c r="GX46" s="43"/>
      <c r="GY46" s="43"/>
      <c r="GZ46" s="43"/>
      <c r="HA46" s="43"/>
      <c r="HC46" s="44"/>
      <c r="HD46" s="44"/>
      <c r="HE46" s="44"/>
      <c r="HF46" s="44"/>
      <c r="HG46" s="44"/>
      <c r="HH46" s="43"/>
      <c r="HI46" s="43"/>
      <c r="HJ46" s="43"/>
      <c r="HK46" s="43"/>
      <c r="HL46" s="43"/>
      <c r="HM46" s="43"/>
      <c r="HO46" s="44"/>
      <c r="HP46" s="44"/>
      <c r="HQ46" s="44"/>
      <c r="HR46" s="44"/>
      <c r="HS46" s="44"/>
      <c r="HT46" s="43"/>
      <c r="HU46" s="43"/>
      <c r="HV46" s="43"/>
      <c r="HW46" s="43"/>
      <c r="HX46" s="43"/>
      <c r="HY46" s="43"/>
      <c r="IA46" s="44"/>
      <c r="IB46" s="44"/>
      <c r="IC46" s="44"/>
      <c r="ID46" s="44"/>
      <c r="IE46" s="44"/>
      <c r="IF46" s="43"/>
      <c r="IG46" s="43"/>
      <c r="IH46" s="43"/>
      <c r="II46" s="43"/>
      <c r="IJ46" s="43"/>
      <c r="IK46" s="43"/>
    </row>
    <row r="47" spans="2:251" ht="15" customHeight="1" x14ac:dyDescent="0.4">
      <c r="B47" s="276">
        <v>23</v>
      </c>
      <c r="C47" s="278">
        <f>고객요구사항도출표!C27</f>
        <v>0</v>
      </c>
      <c r="D47" s="40" t="s">
        <v>55</v>
      </c>
      <c r="E47" s="41"/>
      <c r="F47" s="41"/>
      <c r="G47" s="41"/>
      <c r="H47" s="41"/>
      <c r="I47" s="41"/>
      <c r="J47" s="41" t="str">
        <f>IF(AND(E47="*",OR(F48="*",G48="*",H48="*")), 1,"")</f>
        <v/>
      </c>
      <c r="K47" s="41" t="str">
        <f>IF(AND(E47="*",I48="*"),1,"")</f>
        <v/>
      </c>
      <c r="L47" s="41" t="str">
        <f>IF(AND(I48="*", OR(F47="*", G47="*",H47="*")),1,"")</f>
        <v/>
      </c>
      <c r="M47" s="41" t="str">
        <f>IF(AND(E48="*",OR(F47="*",G47="*",H47="*",I47="*")),1,IF(AND(I47="*",OR(E48="*",F48="*",G48="*",H48="*")),1,""))</f>
        <v/>
      </c>
      <c r="N47" s="41" t="str">
        <f>IF(AND(F47="*",OR(F48="*",G48="*",H48="*")),1,IF(AND(G47="*",OR(F48="*",G48="*",H48="*")),1,IF(AND(H47="*",OR(F48="*",G48="*",H48="*")),1,"")))</f>
        <v/>
      </c>
      <c r="O47" s="41" t="str">
        <f>IF(AND(E47="*",E48="*"),1,"")</f>
        <v/>
      </c>
      <c r="Q47" s="41"/>
      <c r="R47" s="41"/>
      <c r="S47" s="41"/>
      <c r="T47" s="41"/>
      <c r="U47" s="41"/>
      <c r="V47" s="41" t="str">
        <f>IF(AND(Q47="*",OR(R48="*",S48="*",T48="*")), 1,"")</f>
        <v/>
      </c>
      <c r="W47" s="41" t="str">
        <f>IF(AND(Q47="*",U48="*"),1,"")</f>
        <v/>
      </c>
      <c r="X47" s="41" t="str">
        <f>IF(AND(U48="*", OR(R47="*", S47="*",T47="*")),1,"")</f>
        <v/>
      </c>
      <c r="Y47" s="41" t="str">
        <f>IF(AND(Q48="*",OR(R47="*",S47="*",T47="*",U47="*")),1,IF(AND(U47="*",OR(Q48="*",R48="*",S48="*",T48="*")),1,""))</f>
        <v/>
      </c>
      <c r="Z47" s="41" t="str">
        <f>IF(AND(R47="*",OR(R48="*",S48="*",T48="*")),1,IF(AND(S47="*",OR(R48="*",S48="*",T48="*")),1,IF(AND(T47="*",OR(R48="*",S48="*",T48="*")),1,"")))</f>
        <v/>
      </c>
      <c r="AA47" s="41" t="str">
        <f>IF(AND(Q47="*",Q48="*"),1,"")</f>
        <v/>
      </c>
      <c r="AC47" s="41"/>
      <c r="AD47" s="41"/>
      <c r="AE47" s="41"/>
      <c r="AF47" s="41"/>
      <c r="AG47" s="41"/>
      <c r="AH47" s="41" t="str">
        <f>IF(AND(AC47="*",OR(AD48="*",AE48="*",AF48="*")), 1,"")</f>
        <v/>
      </c>
      <c r="AI47" s="41" t="str">
        <f>IF(AND(AC47="*",AG48="*"),1,"")</f>
        <v/>
      </c>
      <c r="AJ47" s="41" t="str">
        <f>IF(AND(AG48="*", OR(AD47="*", AE47="*",AF47="*")),1,"")</f>
        <v/>
      </c>
      <c r="AK47" s="41" t="str">
        <f>IF(AND(AC48="*",OR(AD47="*",AE47="*",AF47="*",AG47="*")),1,IF(AND(AG47="*",OR(AC48="*",AD48="*",AE48="*",AF48="*")),1,""))</f>
        <v/>
      </c>
      <c r="AL47" s="41" t="str">
        <f>IF(AND(AD47="*",OR(AD48="*",AE48="*",AF48="*")),1,IF(AND(AE47="*",OR(AD48="*",AE48="*",AF48="*")),1,IF(AND(AF47="*",OR(AD48="*",AE48="*",AF48="*")),1,"")))</f>
        <v/>
      </c>
      <c r="AM47" s="41" t="str">
        <f>IF(AND(AC47="*",AC48="*"),1,"")</f>
        <v/>
      </c>
      <c r="AO47" s="41"/>
      <c r="AP47" s="41"/>
      <c r="AQ47" s="41"/>
      <c r="AR47" s="41"/>
      <c r="AS47" s="41"/>
      <c r="AT47" s="41" t="str">
        <f>IF(AND(AO47="*",OR(AP48="*",AQ48="*",AR48="*")), 1,"")</f>
        <v/>
      </c>
      <c r="AU47" s="41" t="str">
        <f>IF(AND(AO47="*",AS48="*"),1,"")</f>
        <v/>
      </c>
      <c r="AV47" s="41" t="str">
        <f>IF(AND(AS48="*", OR(AP47="*", AQ47="*",AR47="*")),1,"")</f>
        <v/>
      </c>
      <c r="AW47" s="41" t="str">
        <f>IF(AND(AO48="*",OR(AP47="*",AQ47="*",AR47="*",AS47="*")),1,IF(AND(AS47="*",OR(AO48="*",AP48="*",AQ48="*",AR48="*")),1,""))</f>
        <v/>
      </c>
      <c r="AX47" s="41" t="str">
        <f>IF(AND(AP47="*",OR(AP48="*",AQ48="*",AR48="*")),1,IF(AND(AQ47="*",OR(AP48="*",AQ48="*",AR48="*")),1,IF(AND(AR47="*",OR(AP48="*",AQ48="*",AR48="*")),1,"")))</f>
        <v/>
      </c>
      <c r="AY47" s="41" t="str">
        <f>IF(AND(AO47="*",AO48="*"),1,"")</f>
        <v/>
      </c>
      <c r="BA47" s="41"/>
      <c r="BB47" s="41"/>
      <c r="BC47" s="41"/>
      <c r="BD47" s="41"/>
      <c r="BE47" s="41"/>
      <c r="BF47" s="41" t="str">
        <f>IF(AND(BA47="*",OR(BB48="*",BC48="*",BD48="*")), 1,"")</f>
        <v/>
      </c>
      <c r="BG47" s="41" t="str">
        <f>IF(AND(BA47="*",BE48="*"),1,"")</f>
        <v/>
      </c>
      <c r="BH47" s="41" t="str">
        <f>IF(AND(BE48="*", OR(BB47="*", BC47="*",BD47="*")),1,"")</f>
        <v/>
      </c>
      <c r="BI47" s="41" t="str">
        <f>IF(AND(BA48="*",OR(BB47="*",BC47="*",BD47="*",BE47="*")),1,IF(AND(BE47="*",OR(BA48="*",BB48="*",BC48="*",BD48="*")),1,""))</f>
        <v/>
      </c>
      <c r="BJ47" s="41" t="str">
        <f>IF(AND(BB47="*",OR(BB48="*",BC48="*",BD48="*")),1,IF(AND(BC47="*",OR(BB48="*",BC48="*",BD48="*")),1,IF(AND(BD47="*",OR(BB48="*",BC48="*",BD48="*")),1,"")))</f>
        <v/>
      </c>
      <c r="BK47" s="41" t="str">
        <f>IF(AND(BA47="*",BA48="*"),1,"")</f>
        <v/>
      </c>
      <c r="BM47" s="41"/>
      <c r="BN47" s="41"/>
      <c r="BO47" s="41"/>
      <c r="BP47" s="41"/>
      <c r="BQ47" s="41"/>
      <c r="BR47" s="41"/>
      <c r="BS47" s="41" t="str">
        <f>IF(AND(BM47="*",OR(BN48="*",BO48="*",BP48="*")), 1,"")</f>
        <v/>
      </c>
      <c r="BT47" s="41" t="str">
        <f>IF(AND(BM47="*",BQ48="*"),1,"")</f>
        <v/>
      </c>
      <c r="BU47" s="41" t="str">
        <f>IF(AND(BQ48="*", OR(BN47="*", BO47="*",BP47="*")),1,"")</f>
        <v/>
      </c>
      <c r="BV47" s="41" t="str">
        <f>IF(AND(BM48="*",OR(BN47="*",BO47="*",BP47="*",BQ47="*")),1,IF(AND(BQ47="*",OR(BM48="*",BN48="*",BO48="*",BP48="*")),1,""))</f>
        <v/>
      </c>
      <c r="BW47" s="41" t="str">
        <f>IF(AND(BN47="*",OR(BN48="*",BO48="*",BP48="*")),1,IF(AND(BO47="*",OR(BN48="*",BO48="*",BP48="*")),1,IF(AND(BP47="*",OR(BN48="*",BO48="*",BP48="*")),1,"")))</f>
        <v/>
      </c>
      <c r="BX47" s="41" t="str">
        <f>IF(AND(BM47="*",BM48="*"),1,"")</f>
        <v/>
      </c>
      <c r="BZ47" s="41"/>
      <c r="CA47" s="41"/>
      <c r="CB47" s="41"/>
      <c r="CC47" s="41"/>
      <c r="CD47" s="41"/>
      <c r="CE47" s="41" t="str">
        <f>IF(AND(BZ47="*",OR(CA48="*",CB48="*",CC48="*")), 1,"")</f>
        <v/>
      </c>
      <c r="CF47" s="41" t="str">
        <f>IF(AND(BZ47="*",CD48="*"),1,"")</f>
        <v/>
      </c>
      <c r="CG47" s="41" t="str">
        <f>IF(AND(CD48="*", OR(CA47="*", CB47="*",CC47="*")),1,"")</f>
        <v/>
      </c>
      <c r="CH47" s="41" t="str">
        <f>IF(AND(BZ48="*",OR(CA47="*",CB47="*",CC47="*",CD47="*")),1,IF(AND(CD47="*",OR(BZ48="*",CA48="*",CB48="*",CC48="*")),1,""))</f>
        <v/>
      </c>
      <c r="CI47" s="41" t="str">
        <f>IF(AND(CA47="*",OR(CA48="*",CB48="*",CC48="*")),1,IF(AND(CB47="*",OR(CA48="*",CB48="*",CC48="*")),1,IF(AND(CC47="*",OR(CA48="*",CB48="*",CC48="*")),1,"")))</f>
        <v/>
      </c>
      <c r="CJ47" s="41" t="str">
        <f>IF(AND(BZ47="*",BZ48="*"),1,"")</f>
        <v/>
      </c>
      <c r="CL47" s="41"/>
      <c r="CM47" s="41"/>
      <c r="CN47" s="41"/>
      <c r="CO47" s="41"/>
      <c r="CP47" s="41"/>
      <c r="CQ47" s="41" t="str">
        <f>IF(AND(CL47="*",OR(CM48="*",CN48="*",CO48="*")), 1,"")</f>
        <v/>
      </c>
      <c r="CR47" s="41" t="str">
        <f>IF(AND(CL47="*",CP48="*"),1,"")</f>
        <v/>
      </c>
      <c r="CS47" s="41" t="str">
        <f>IF(AND(CP48="*", OR(CM47="*", CN47="*",CO47="*")),1,"")</f>
        <v/>
      </c>
      <c r="CT47" s="41" t="str">
        <f>IF(AND(CL48="*",OR(CM47="*",CN47="*",CO47="*",CP47="*")),1,IF(AND(CP47="*",OR(CL48="*",CM48="*",CN48="*",CO48="*")),1,""))</f>
        <v/>
      </c>
      <c r="CU47" s="41" t="str">
        <f>IF(AND(CM47="*",OR(CM48="*",CN48="*",CO48="*")),1,IF(AND(CN47="*",OR(CM48="*",CN48="*",CO48="*")),1,IF(AND(CO47="*",OR(CM48="*",CN48="*",CO48="*")),1,"")))</f>
        <v/>
      </c>
      <c r="CV47" s="41" t="str">
        <f>IF(AND(CL47="*",CL48="*"),1,"")</f>
        <v/>
      </c>
      <c r="CX47" s="41"/>
      <c r="CY47" s="41"/>
      <c r="CZ47" s="41"/>
      <c r="DA47" s="41"/>
      <c r="DB47" s="41"/>
      <c r="DC47" s="41" t="str">
        <f>IF(AND(CX47="*",OR(CY48="*",CZ48="*",DA48="*")), 1,"")</f>
        <v/>
      </c>
      <c r="DD47" s="41" t="str">
        <f>IF(AND(CX47="*",DB48="*"),1,"")</f>
        <v/>
      </c>
      <c r="DE47" s="41" t="str">
        <f>IF(AND(DB48="*", OR(CY47="*", CZ47="*",DA47="*")),1,"")</f>
        <v/>
      </c>
      <c r="DF47" s="41" t="str">
        <f>IF(AND(CX48="*",OR(CY47="*",CZ47="*",DA47="*",DB47="*")),1,IF(AND(DB47="*",OR(CX48="*",CY48="*",CZ48="*",DA48="*")),1,""))</f>
        <v/>
      </c>
      <c r="DG47" s="41" t="str">
        <f>IF(AND(CY47="*",OR(CY48="*",CZ48="*",DA48="*")),1,IF(AND(CZ47="*",OR(CY48="*",CZ48="*",DA48="*")),1,IF(AND(DA47="*",OR(CY48="*",CZ48="*",DA48="*")),1,"")))</f>
        <v/>
      </c>
      <c r="DH47" s="41" t="str">
        <f>IF(AND(CX47="*",CX48="*"),1,"")</f>
        <v/>
      </c>
      <c r="DJ47" s="41"/>
      <c r="DK47" s="41"/>
      <c r="DL47" s="41"/>
      <c r="DM47" s="41"/>
      <c r="DN47" s="41"/>
      <c r="DO47" s="41" t="str">
        <f>IF(AND(DJ47="*",OR(DK48="*",DL48="*",DM48="*")), 1,"")</f>
        <v/>
      </c>
      <c r="DP47" s="41" t="str">
        <f>IF(AND(DJ47="*",DN48="*"),1,"")</f>
        <v/>
      </c>
      <c r="DQ47" s="41" t="str">
        <f>IF(AND(DN48="*", OR(DK47="*", DL47="*",DM47="*")),1,"")</f>
        <v/>
      </c>
      <c r="DR47" s="41" t="str">
        <f>IF(AND(DJ48="*",OR(DK47="*",DL47="*",DM47="*",DN47="*")),1,IF(AND(DN47="*",OR(DJ48="*",DK48="*",DL48="*",DM48="*")),1,""))</f>
        <v/>
      </c>
      <c r="DS47" s="41" t="str">
        <f>IF(AND(DK47="*",OR(DK48="*",DL48="*",DM48="*")),1,IF(AND(DL47="*",OR(DK48="*",DL48="*",DM48="*")),1,IF(AND(DM47="*",OR(DK48="*",DL48="*",DM48="*")),1,"")))</f>
        <v/>
      </c>
      <c r="DT47" s="41" t="str">
        <f>IF(AND(DJ47="*",DJ48="*"),1,"")</f>
        <v/>
      </c>
      <c r="DV47" s="41"/>
      <c r="DW47" s="41"/>
      <c r="DX47" s="41"/>
      <c r="DY47" s="41"/>
      <c r="DZ47" s="41"/>
      <c r="EA47" s="41" t="str">
        <f>IF(AND(DV47="*",OR(DW48="*",DX48="*",DY48="*")), 1,"")</f>
        <v/>
      </c>
      <c r="EB47" s="41" t="str">
        <f>IF(AND(DV47="*",DZ48="*"),1,"")</f>
        <v/>
      </c>
      <c r="EC47" s="41" t="str">
        <f>IF(AND(DZ48="*", OR(DW47="*", DX47="*",DY47="*")),1,"")</f>
        <v/>
      </c>
      <c r="ED47" s="41" t="str">
        <f>IF(AND(DV48="*",OR(DW47="*",DX47="*",DY47="*",DZ47="*")),1,IF(AND(DZ47="*",OR(DV48="*",DW48="*",DX48="*",DY48="*")),1,""))</f>
        <v/>
      </c>
      <c r="EE47" s="41" t="str">
        <f>IF(AND(DW47="*",OR(DW48="*",DX48="*",DY48="*")),1,IF(AND(DX47="*",OR(DW48="*",DX48="*",DY48="*")),1,IF(AND(DY47="*",OR(DW48="*",DX48="*",DY48="*")),1,"")))</f>
        <v/>
      </c>
      <c r="EF47" s="41" t="str">
        <f>IF(AND(DV47="*",DV48="*"),1,"")</f>
        <v/>
      </c>
      <c r="EH47" s="41"/>
      <c r="EI47" s="41"/>
      <c r="EJ47" s="41"/>
      <c r="EK47" s="41"/>
      <c r="EL47" s="41"/>
      <c r="EM47" s="41" t="str">
        <f>IF(AND(EH47="*",OR(EI48="*",EJ48="*",EK48="*")), 1,"")</f>
        <v/>
      </c>
      <c r="EN47" s="41" t="str">
        <f>IF(AND(EH47="*",EL48="*"),1,"")</f>
        <v/>
      </c>
      <c r="EO47" s="41" t="str">
        <f>IF(AND(EL48="*", OR(EI47="*", EJ47="*",EK47="*")),1,"")</f>
        <v/>
      </c>
      <c r="EP47" s="41" t="str">
        <f>IF(AND(EH48="*",OR(EI47="*",EJ47="*",EK47="*",EL47="*")),1,IF(AND(EL47="*",OR(EH48="*",EI48="*",EJ48="*",EK48="*")),1,""))</f>
        <v/>
      </c>
      <c r="EQ47" s="41" t="str">
        <f>IF(AND(EI47="*",OR(EI48="*",EJ48="*",EK48="*")),1,IF(AND(EJ47="*",OR(EI48="*",EJ48="*",EK48="*")),1,IF(AND(EK47="*",OR(EI48="*",EJ48="*",EK48="*")),1,"")))</f>
        <v/>
      </c>
      <c r="ER47" s="41" t="str">
        <f>IF(AND(EH47="*",EH48="*"),1,"")</f>
        <v/>
      </c>
      <c r="ET47" s="41"/>
      <c r="EU47" s="41"/>
      <c r="EV47" s="41"/>
      <c r="EW47" s="41"/>
      <c r="EX47" s="41"/>
      <c r="EY47" s="41" t="str">
        <f>IF(AND(ET47="*",OR(EU48="*",EV48="*",EW48="*")), 1,"")</f>
        <v/>
      </c>
      <c r="EZ47" s="41" t="str">
        <f>IF(AND(ET47="*",EX48="*"),1,"")</f>
        <v/>
      </c>
      <c r="FA47" s="41" t="str">
        <f>IF(AND(EX48="*", OR(EU47="*", EV47="*",EW47="*")),1,"")</f>
        <v/>
      </c>
      <c r="FB47" s="41" t="str">
        <f>IF(AND(ET48="*",OR(EU47="*",EV47="*",EW47="*",EX47="*")),1,IF(AND(EX47="*",OR(ET48="*",EU48="*",EV48="*",EW48="*")),1,""))</f>
        <v/>
      </c>
      <c r="FC47" s="41" t="str">
        <f>IF(AND(EU47="*",OR(EU48="*",EV48="*",EW48="*")),1,IF(AND(EV47="*",OR(EU48="*",EV48="*",EW48="*")),1,IF(AND(EW47="*",OR(EU48="*",EV48="*",EW48="*")),1,"")))</f>
        <v/>
      </c>
      <c r="FD47" s="41" t="str">
        <f>IF(AND(ET47="*",ET48="*"),1,"")</f>
        <v/>
      </c>
      <c r="FF47" s="41"/>
      <c r="FG47" s="41"/>
      <c r="FH47" s="41"/>
      <c r="FI47" s="41"/>
      <c r="FJ47" s="41"/>
      <c r="FK47" s="41" t="str">
        <f>IF(AND(FF47="*",OR(FG48="*",FH48="*",FI48="*")), 1,"")</f>
        <v/>
      </c>
      <c r="FL47" s="41" t="str">
        <f>IF(AND(FF47="*",FJ48="*"),1,"")</f>
        <v/>
      </c>
      <c r="FM47" s="41" t="str">
        <f>IF(AND(FJ48="*", OR(FG47="*", FH47="*",FI47="*")),1,"")</f>
        <v/>
      </c>
      <c r="FN47" s="41" t="str">
        <f>IF(AND(FF48="*",OR(FG47="*",FH47="*",FI47="*",FJ47="*")),1,IF(AND(FJ47="*",OR(FF48="*",FG48="*",FH48="*",FI48="*")),1,""))</f>
        <v/>
      </c>
      <c r="FO47" s="41" t="str">
        <f>IF(AND(FG47="*",OR(FG48="*",FH48="*",FI48="*")),1,IF(AND(FH47="*",OR(FG48="*",FH48="*",FI48="*")),1,IF(AND(FI47="*",OR(FG48="*",FH48="*",FI48="*")),1,"")))</f>
        <v/>
      </c>
      <c r="FP47" s="41" t="str">
        <f>IF(AND(FF47="*",FF48="*"),1,"")</f>
        <v/>
      </c>
      <c r="FR47" s="41"/>
      <c r="FS47" s="41"/>
      <c r="FT47" s="41"/>
      <c r="FU47" s="41"/>
      <c r="FV47" s="41"/>
      <c r="FW47" s="41" t="str">
        <f>IF(AND(FR47="*",OR(FS48="*",FT48="*",FU48="*")), 1,"")</f>
        <v/>
      </c>
      <c r="FX47" s="41" t="str">
        <f>IF(AND(FR47="*",FV48="*"),1,"")</f>
        <v/>
      </c>
      <c r="FY47" s="41" t="str">
        <f>IF(AND(FV48="*", OR(FS47="*", FT47="*",FU47="*")),1,"")</f>
        <v/>
      </c>
      <c r="FZ47" s="41" t="str">
        <f>IF(AND(FR48="*",OR(FS47="*",FT47="*",FU47="*",FV47="*")),1,IF(AND(FV47="*",OR(FR48="*",FS48="*",FT48="*",FU48="*")),1,""))</f>
        <v/>
      </c>
      <c r="GA47" s="41" t="str">
        <f>IF(AND(FS47="*",OR(FS48="*",FT48="*",FU48="*")),1,IF(AND(FT47="*",OR(FS48="*",FT48="*",FU48="*")),1,IF(AND(FU47="*",OR(FS48="*",FT48="*",FU48="*")),1,"")))</f>
        <v/>
      </c>
      <c r="GB47" s="41" t="str">
        <f>IF(AND(FR47="*",FR48="*"),1,"")</f>
        <v/>
      </c>
      <c r="GD47" s="41"/>
      <c r="GE47" s="41"/>
      <c r="GF47" s="41"/>
      <c r="GG47" s="41"/>
      <c r="GH47" s="41"/>
      <c r="GI47" s="41"/>
      <c r="GJ47" s="41" t="str">
        <f>IF(AND(GD47="*",OR(GE48="*",GF48="*",GG48="*")), 1,"")</f>
        <v/>
      </c>
      <c r="GK47" s="41" t="str">
        <f>IF(AND(GD47="*",GH48="*"),1,"")</f>
        <v/>
      </c>
      <c r="GL47" s="41" t="str">
        <f>IF(AND(GH48="*", OR(GE47="*", GF47="*",GG47="*")),1,"")</f>
        <v/>
      </c>
      <c r="GM47" s="41" t="str">
        <f>IF(AND(GD48="*",OR(GE47="*",GF47="*",GG47="*",GH47="*")),1,IF(AND(GH47="*",OR(GD48="*",GE48="*",GF48="*",GG48="*")),1,""))</f>
        <v/>
      </c>
      <c r="GN47" s="41" t="str">
        <f>IF(AND(GE47="*",OR(GE48="*",GF48="*",GG48="*")),1,IF(AND(GF47="*",OR(GE48="*",GF48="*",GG48="*")),1,IF(AND(GG47="*",OR(GE48="*",GF48="*",GG48="*")),1,"")))</f>
        <v/>
      </c>
      <c r="GO47" s="41" t="str">
        <f>IF(AND(GD47="*",GD48="*"),1,"")</f>
        <v/>
      </c>
      <c r="GQ47" s="41"/>
      <c r="GR47" s="41"/>
      <c r="GS47" s="41"/>
      <c r="GT47" s="41"/>
      <c r="GU47" s="41"/>
      <c r="GV47" s="41" t="str">
        <f>IF(AND(GQ47="*",OR(GR48="*",GS48="*",GT48="*")), 1,"")</f>
        <v/>
      </c>
      <c r="GW47" s="41" t="str">
        <f>IF(AND(GQ47="*",GU48="*"),1,"")</f>
        <v/>
      </c>
      <c r="GX47" s="41" t="str">
        <f>IF(AND(GU48="*", OR(GR47="*", GS47="*",GT47="*")),1,"")</f>
        <v/>
      </c>
      <c r="GY47" s="41" t="str">
        <f>IF(AND(GQ48="*",OR(GR47="*",GS47="*",GT47="*",GU47="*")),1,IF(AND(GU47="*",OR(GQ48="*",GR48="*",GS48="*",GT48="*")),1,""))</f>
        <v/>
      </c>
      <c r="GZ47" s="41" t="str">
        <f>IF(AND(GR47="*",OR(GR48="*",GS48="*",GT48="*")),1,IF(AND(GS47="*",OR(GR48="*",GS48="*",GT48="*")),1,IF(AND(GT47="*",OR(GR48="*",GS48="*",GT48="*")),1,"")))</f>
        <v/>
      </c>
      <c r="HA47" s="41" t="str">
        <f>IF(AND(GQ47="*",GQ48="*"),1,"")</f>
        <v/>
      </c>
      <c r="HC47" s="41"/>
      <c r="HD47" s="41"/>
      <c r="HE47" s="41"/>
      <c r="HF47" s="41"/>
      <c r="HG47" s="41"/>
      <c r="HH47" s="41" t="str">
        <f>IF(AND(HC47="*",OR(HD48="*",HE48="*",HF48="*")), 1,"")</f>
        <v/>
      </c>
      <c r="HI47" s="41" t="str">
        <f>IF(AND(HC47="*",HG48="*"),1,"")</f>
        <v/>
      </c>
      <c r="HJ47" s="41" t="str">
        <f>IF(AND(HG48="*", OR(HD47="*", HE47="*",HF47="*")),1,"")</f>
        <v/>
      </c>
      <c r="HK47" s="41" t="str">
        <f>IF(AND(HC48="*",OR(HD47="*",HE47="*",HF47="*",HG47="*")),1,IF(AND(HG47="*",OR(HC48="*",HD48="*",HE48="*",HF48="*")),1,""))</f>
        <v/>
      </c>
      <c r="HL47" s="41" t="str">
        <f>IF(AND(HD47="*",OR(HD48="*",HE48="*",HF48="*")),1,IF(AND(HE47="*",OR(HD48="*",HE48="*",HF48="*")),1,IF(AND(HF47="*",OR(HD48="*",HE48="*",HF48="*")),1,"")))</f>
        <v/>
      </c>
      <c r="HM47" s="41" t="str">
        <f>IF(AND(HC47="*",HC48="*"),1,"")</f>
        <v/>
      </c>
      <c r="HO47" s="41"/>
      <c r="HP47" s="41"/>
      <c r="HQ47" s="41"/>
      <c r="HR47" s="41"/>
      <c r="HS47" s="41"/>
      <c r="HT47" s="41" t="str">
        <f>IF(AND(HO47="*",OR(HP48="*",HQ48="*",HR48="*")), 1,"")</f>
        <v/>
      </c>
      <c r="HU47" s="41" t="str">
        <f>IF(AND(HO47="*",HS48="*"),1,"")</f>
        <v/>
      </c>
      <c r="HV47" s="41" t="str">
        <f>IF(AND(HS48="*", OR(HP47="*", HQ47="*",HR47="*")),1,"")</f>
        <v/>
      </c>
      <c r="HW47" s="41" t="str">
        <f>IF(AND(HO48="*",OR(HP47="*",HQ47="*",HR47="*",HS47="*")),1,IF(AND(HS47="*",OR(HO48="*",HP48="*",HQ48="*",HR48="*")),1,""))</f>
        <v/>
      </c>
      <c r="HX47" s="41" t="str">
        <f>IF(AND(HP47="*",OR(HP48="*",HQ48="*",HR48="*")),1,IF(AND(HQ47="*",OR(HP48="*",HQ48="*",HR48="*")),1,IF(AND(HR47="*",OR(HP48="*",HQ48="*",HR48="*")),1,"")))</f>
        <v/>
      </c>
      <c r="HY47" s="41" t="str">
        <f>IF(AND(HO47="*",HO48="*"),1,"")</f>
        <v/>
      </c>
      <c r="IA47" s="41"/>
      <c r="IB47" s="41"/>
      <c r="IC47" s="41"/>
      <c r="ID47" s="41"/>
      <c r="IE47" s="41"/>
      <c r="IF47" s="41" t="str">
        <f>IF(AND(IA47="*",OR(IB48="*",IC48="*",ID48="*")), 1,"")</f>
        <v/>
      </c>
      <c r="IG47" s="41" t="str">
        <f>IF(AND(IA47="*",IE48="*"),1,"")</f>
        <v/>
      </c>
      <c r="IH47" s="41" t="str">
        <f>IF(AND(IE48="*", OR(IB47="*", IC47="*",ID47="*")),1,"")</f>
        <v/>
      </c>
      <c r="II47" s="41" t="str">
        <f>IF(AND(IA48="*",OR(IB47="*",IC47="*",ID47="*",IE47="*")),1,IF(AND(IE47="*",OR(IA48="*",IB48="*",IC48="*",ID48="*")),1,""))</f>
        <v/>
      </c>
      <c r="IJ47" s="41" t="str">
        <f>IF(AND(IB47="*",OR(IB48="*",IC48="*",ID48="*")),1,IF(AND(IC47="*",OR(IB48="*",IC48="*",ID48="*")),1,IF(AND(ID47="*",OR(IB48="*",IC48="*",ID48="*")),1,"")))</f>
        <v/>
      </c>
      <c r="IK47" s="41" t="str">
        <f>IF(AND(IA47="*",IA48="*"),1,"")</f>
        <v/>
      </c>
      <c r="IL47" s="41">
        <f>COUNT(J47,V47,AH47,AT47,BF47,BS47,CE47,CQ47,DC47,DO47,EA47,EM47,EY47,FK47,FW47,GJ47,GV47,HH47,HT47,IF47)</f>
        <v>0</v>
      </c>
      <c r="IM47" s="41">
        <f t="shared" ref="IM47:IQ47" si="22">COUNT(K47,W47,AI47,AU47,BG47,BT47,CF47,CR47,DD47,DP47,EB47,EN47,EZ47,FL47,FX47,GK47,GW47,HI47,HU47,IG47)</f>
        <v>0</v>
      </c>
      <c r="IN47" s="41">
        <f t="shared" si="22"/>
        <v>0</v>
      </c>
      <c r="IO47" s="41">
        <f t="shared" si="22"/>
        <v>0</v>
      </c>
      <c r="IP47" s="41">
        <f t="shared" si="22"/>
        <v>0</v>
      </c>
      <c r="IQ47" s="41">
        <f t="shared" si="22"/>
        <v>0</v>
      </c>
    </row>
    <row r="48" spans="2:251" ht="15" customHeight="1" x14ac:dyDescent="0.4">
      <c r="B48" s="277"/>
      <c r="C48" s="279"/>
      <c r="D48" s="42" t="s">
        <v>52</v>
      </c>
      <c r="E48" s="41"/>
      <c r="F48" s="41"/>
      <c r="G48" s="41"/>
      <c r="H48" s="41"/>
      <c r="I48" s="41"/>
      <c r="J48" s="43"/>
      <c r="K48" s="43"/>
      <c r="L48" s="43"/>
      <c r="M48" s="43"/>
      <c r="N48" s="43"/>
      <c r="O48" s="43"/>
      <c r="Q48" s="41"/>
      <c r="R48" s="41"/>
      <c r="S48" s="41"/>
      <c r="T48" s="41"/>
      <c r="U48" s="41"/>
      <c r="V48" s="43"/>
      <c r="W48" s="43"/>
      <c r="X48" s="43"/>
      <c r="Y48" s="43"/>
      <c r="Z48" s="43"/>
      <c r="AA48" s="43"/>
      <c r="AC48" s="41"/>
      <c r="AD48" s="41"/>
      <c r="AE48" s="41"/>
      <c r="AF48" s="41"/>
      <c r="AG48" s="41"/>
      <c r="AH48" s="43"/>
      <c r="AI48" s="43"/>
      <c r="AJ48" s="43"/>
      <c r="AK48" s="43"/>
      <c r="AL48" s="43"/>
      <c r="AM48" s="43"/>
      <c r="AO48" s="41"/>
      <c r="AP48" s="41"/>
      <c r="AQ48" s="41"/>
      <c r="AR48" s="41"/>
      <c r="AS48" s="41"/>
      <c r="AT48" s="43"/>
      <c r="AU48" s="43"/>
      <c r="AV48" s="43"/>
      <c r="AW48" s="43"/>
      <c r="AX48" s="43"/>
      <c r="AY48" s="43"/>
      <c r="BA48" s="41"/>
      <c r="BB48" s="41"/>
      <c r="BC48" s="41"/>
      <c r="BD48" s="41"/>
      <c r="BE48" s="41"/>
      <c r="BF48" s="43"/>
      <c r="BG48" s="43"/>
      <c r="BH48" s="43"/>
      <c r="BI48" s="43"/>
      <c r="BJ48" s="43"/>
      <c r="BK48" s="43"/>
      <c r="BM48" s="41"/>
      <c r="BN48" s="41"/>
      <c r="BO48" s="41"/>
      <c r="BP48" s="41"/>
      <c r="BQ48" s="41"/>
      <c r="BR48" s="41"/>
      <c r="BS48" s="43"/>
      <c r="BT48" s="43"/>
      <c r="BU48" s="43"/>
      <c r="BV48" s="43"/>
      <c r="BW48" s="43"/>
      <c r="BX48" s="43"/>
      <c r="BZ48" s="41"/>
      <c r="CA48" s="41"/>
      <c r="CB48" s="41"/>
      <c r="CC48" s="41"/>
      <c r="CD48" s="41"/>
      <c r="CE48" s="43"/>
      <c r="CF48" s="43"/>
      <c r="CG48" s="43"/>
      <c r="CH48" s="43"/>
      <c r="CI48" s="43"/>
      <c r="CJ48" s="43"/>
      <c r="CL48" s="41"/>
      <c r="CM48" s="41"/>
      <c r="CN48" s="41"/>
      <c r="CO48" s="41"/>
      <c r="CP48" s="41"/>
      <c r="CQ48" s="43"/>
      <c r="CR48" s="43"/>
      <c r="CS48" s="43"/>
      <c r="CT48" s="43"/>
      <c r="CU48" s="43"/>
      <c r="CV48" s="43"/>
      <c r="CX48" s="41"/>
      <c r="CY48" s="41"/>
      <c r="CZ48" s="41"/>
      <c r="DA48" s="41"/>
      <c r="DB48" s="41"/>
      <c r="DC48" s="43"/>
      <c r="DD48" s="43"/>
      <c r="DE48" s="43"/>
      <c r="DF48" s="43"/>
      <c r="DG48" s="43"/>
      <c r="DH48" s="43"/>
      <c r="DJ48" s="41"/>
      <c r="DK48" s="41"/>
      <c r="DL48" s="41"/>
      <c r="DM48" s="41"/>
      <c r="DN48" s="41"/>
      <c r="DO48" s="43"/>
      <c r="DP48" s="43"/>
      <c r="DQ48" s="43"/>
      <c r="DR48" s="43"/>
      <c r="DS48" s="43"/>
      <c r="DT48" s="43"/>
      <c r="DV48" s="41"/>
      <c r="DW48" s="41"/>
      <c r="DX48" s="41"/>
      <c r="DY48" s="41"/>
      <c r="DZ48" s="41"/>
      <c r="EA48" s="43"/>
      <c r="EB48" s="43"/>
      <c r="EC48" s="43"/>
      <c r="ED48" s="43"/>
      <c r="EE48" s="43"/>
      <c r="EF48" s="43"/>
      <c r="EH48" s="41"/>
      <c r="EI48" s="41"/>
      <c r="EJ48" s="41"/>
      <c r="EK48" s="41"/>
      <c r="EL48" s="41"/>
      <c r="EM48" s="43"/>
      <c r="EN48" s="43"/>
      <c r="EO48" s="43"/>
      <c r="EP48" s="43"/>
      <c r="EQ48" s="43"/>
      <c r="ER48" s="43"/>
      <c r="ET48" s="41"/>
      <c r="EU48" s="41"/>
      <c r="EV48" s="41"/>
      <c r="EW48" s="41"/>
      <c r="EX48" s="41"/>
      <c r="EY48" s="43"/>
      <c r="EZ48" s="43"/>
      <c r="FA48" s="43"/>
      <c r="FB48" s="43"/>
      <c r="FC48" s="43"/>
      <c r="FD48" s="43"/>
      <c r="FF48" s="41"/>
      <c r="FG48" s="41"/>
      <c r="FH48" s="41"/>
      <c r="FI48" s="41"/>
      <c r="FJ48" s="41"/>
      <c r="FK48" s="43"/>
      <c r="FL48" s="43"/>
      <c r="FM48" s="43"/>
      <c r="FN48" s="43"/>
      <c r="FO48" s="43"/>
      <c r="FP48" s="43"/>
      <c r="FR48" s="41"/>
      <c r="FS48" s="41"/>
      <c r="FT48" s="41"/>
      <c r="FU48" s="41"/>
      <c r="FV48" s="41"/>
      <c r="FW48" s="43"/>
      <c r="FX48" s="43"/>
      <c r="FY48" s="43"/>
      <c r="FZ48" s="43"/>
      <c r="GA48" s="43"/>
      <c r="GB48" s="43"/>
      <c r="GD48" s="41"/>
      <c r="GE48" s="41"/>
      <c r="GF48" s="41"/>
      <c r="GG48" s="41"/>
      <c r="GH48" s="41"/>
      <c r="GI48" s="41"/>
      <c r="GJ48" s="43"/>
      <c r="GK48" s="43"/>
      <c r="GL48" s="43"/>
      <c r="GM48" s="43"/>
      <c r="GN48" s="43"/>
      <c r="GO48" s="43"/>
      <c r="GQ48" s="41"/>
      <c r="GR48" s="41"/>
      <c r="GS48" s="41"/>
      <c r="GT48" s="41"/>
      <c r="GU48" s="41"/>
      <c r="GV48" s="43"/>
      <c r="GW48" s="43"/>
      <c r="GX48" s="43"/>
      <c r="GY48" s="43"/>
      <c r="GZ48" s="43"/>
      <c r="HA48" s="43"/>
      <c r="HC48" s="41"/>
      <c r="HD48" s="41"/>
      <c r="HE48" s="41"/>
      <c r="HF48" s="41"/>
      <c r="HG48" s="41"/>
      <c r="HH48" s="43"/>
      <c r="HI48" s="43"/>
      <c r="HJ48" s="43"/>
      <c r="HK48" s="43"/>
      <c r="HL48" s="43"/>
      <c r="HM48" s="43"/>
      <c r="HO48" s="41"/>
      <c r="HP48" s="41"/>
      <c r="HQ48" s="41"/>
      <c r="HR48" s="41"/>
      <c r="HS48" s="41"/>
      <c r="HT48" s="43"/>
      <c r="HU48" s="43"/>
      <c r="HV48" s="43"/>
      <c r="HW48" s="43"/>
      <c r="HX48" s="43"/>
      <c r="HY48" s="43"/>
      <c r="IA48" s="41"/>
      <c r="IB48" s="41"/>
      <c r="IC48" s="41"/>
      <c r="ID48" s="41"/>
      <c r="IE48" s="41"/>
      <c r="IF48" s="43"/>
      <c r="IG48" s="43"/>
      <c r="IH48" s="43"/>
      <c r="II48" s="43"/>
      <c r="IJ48" s="43"/>
      <c r="IK48" s="43"/>
    </row>
    <row r="49" spans="2:251" ht="15" customHeight="1" x14ac:dyDescent="0.4">
      <c r="B49" s="273">
        <v>24</v>
      </c>
      <c r="C49" s="274">
        <f>고객요구사항도출표!C28</f>
        <v>0</v>
      </c>
      <c r="D49" s="40" t="s">
        <v>69</v>
      </c>
      <c r="E49" s="44"/>
      <c r="F49" s="44"/>
      <c r="G49" s="44"/>
      <c r="H49" s="44"/>
      <c r="I49" s="44"/>
      <c r="J49" s="44" t="str">
        <f>IF(AND(E49="*",OR(F50="*",G50="*",H50="*")), 1,"")</f>
        <v/>
      </c>
      <c r="K49" s="44" t="str">
        <f>IF(AND(E49="*",I50="*"),1,"")</f>
        <v/>
      </c>
      <c r="L49" s="44" t="str">
        <f>IF(AND(I50="*", OR(F49="*", G49="*",H49="*")),1,"")</f>
        <v/>
      </c>
      <c r="M49" s="44" t="str">
        <f>IF(AND(E50="*",OR(F49="*",G49="*",H49="*",I49="*")),1,IF(AND(I49="*",OR(E50="*",F50="*",G50="*",H50="*")),1,""))</f>
        <v/>
      </c>
      <c r="N49" s="44" t="str">
        <f>IF(AND(F49="*",OR(F50="*",G50="*",H50="*")),1,IF(AND(G49="*",OR(F50="*",G50="*",H50="*")),1,IF(AND(H49="*",OR(F50="*",G50="*",H50="*")),1,"")))</f>
        <v/>
      </c>
      <c r="O49" s="44" t="str">
        <f>IF(AND(E49="*",E50="*"),1,"")</f>
        <v/>
      </c>
      <c r="Q49" s="44"/>
      <c r="R49" s="44"/>
      <c r="S49" s="44"/>
      <c r="T49" s="44"/>
      <c r="U49" s="44"/>
      <c r="V49" s="44" t="str">
        <f>IF(AND(Q49="*",OR(R50="*",S50="*",T50="*")), 1,"")</f>
        <v/>
      </c>
      <c r="W49" s="44" t="str">
        <f>IF(AND(Q49="*",U50="*"),1,"")</f>
        <v/>
      </c>
      <c r="X49" s="44" t="str">
        <f>IF(AND(U50="*", OR(R49="*", S49="*",T49="*")),1,"")</f>
        <v/>
      </c>
      <c r="Y49" s="44" t="str">
        <f>IF(AND(Q50="*",OR(R49="*",S49="*",T49="*",U49="*")),1,IF(AND(U49="*",OR(Q50="*",R50="*",S50="*",T50="*")),1,""))</f>
        <v/>
      </c>
      <c r="Z49" s="44" t="str">
        <f>IF(AND(R49="*",OR(R50="*",S50="*",T50="*")),1,IF(AND(S49="*",OR(R50="*",S50="*",T50="*")),1,IF(AND(T49="*",OR(R50="*",S50="*",T50="*")),1,"")))</f>
        <v/>
      </c>
      <c r="AA49" s="44" t="str">
        <f>IF(AND(Q49="*",Q50="*"),1,"")</f>
        <v/>
      </c>
      <c r="AC49" s="44"/>
      <c r="AD49" s="44"/>
      <c r="AE49" s="44"/>
      <c r="AF49" s="44"/>
      <c r="AG49" s="44"/>
      <c r="AH49" s="44" t="str">
        <f>IF(AND(AC49="*",OR(AD50="*",AE50="*",AF50="*")), 1,"")</f>
        <v/>
      </c>
      <c r="AI49" s="44" t="str">
        <f>IF(AND(AC49="*",AG50="*"),1,"")</f>
        <v/>
      </c>
      <c r="AJ49" s="44" t="str">
        <f>IF(AND(AG50="*", OR(AD49="*", AE49="*",AF49="*")),1,"")</f>
        <v/>
      </c>
      <c r="AK49" s="44" t="str">
        <f>IF(AND(AC50="*",OR(AD49="*",AE49="*",AF49="*",AG49="*")),1,IF(AND(AG49="*",OR(AC50="*",AD50="*",AE50="*",AF50="*")),1,""))</f>
        <v/>
      </c>
      <c r="AL49" s="44" t="str">
        <f>IF(AND(AD49="*",OR(AD50="*",AE50="*",AF50="*")),1,IF(AND(AE49="*",OR(AD50="*",AE50="*",AF50="*")),1,IF(AND(AF49="*",OR(AD50="*",AE50="*",AF50="*")),1,"")))</f>
        <v/>
      </c>
      <c r="AM49" s="44" t="str">
        <f>IF(AND(AC49="*",AC50="*"),1,"")</f>
        <v/>
      </c>
      <c r="AO49" s="44"/>
      <c r="AP49" s="44"/>
      <c r="AQ49" s="44"/>
      <c r="AR49" s="44"/>
      <c r="AS49" s="44"/>
      <c r="AT49" s="44" t="str">
        <f>IF(AND(AO49="*",OR(AP50="*",AQ50="*",AR50="*")), 1,"")</f>
        <v/>
      </c>
      <c r="AU49" s="44" t="str">
        <f>IF(AND(AO49="*",AS50="*"),1,"")</f>
        <v/>
      </c>
      <c r="AV49" s="44" t="str">
        <f>IF(AND(AS50="*", OR(AP49="*", AQ49="*",AR49="*")),1,"")</f>
        <v/>
      </c>
      <c r="AW49" s="44" t="str">
        <f>IF(AND(AO50="*",OR(AP49="*",AQ49="*",AR49="*",AS49="*")),1,IF(AND(AS49="*",OR(AO50="*",AP50="*",AQ50="*",AR50="*")),1,""))</f>
        <v/>
      </c>
      <c r="AX49" s="44" t="str">
        <f>IF(AND(AP49="*",OR(AP50="*",AQ50="*",AR50="*")),1,IF(AND(AQ49="*",OR(AP50="*",AQ50="*",AR50="*")),1,IF(AND(AR49="*",OR(AP50="*",AQ50="*",AR50="*")),1,"")))</f>
        <v/>
      </c>
      <c r="AY49" s="44" t="str">
        <f>IF(AND(AO49="*",AO50="*"),1,"")</f>
        <v/>
      </c>
      <c r="BA49" s="44"/>
      <c r="BB49" s="44"/>
      <c r="BC49" s="44"/>
      <c r="BD49" s="44"/>
      <c r="BE49" s="44"/>
      <c r="BF49" s="44" t="str">
        <f>IF(AND(BA49="*",OR(BB50="*",BC50="*",BD50="*")), 1,"")</f>
        <v/>
      </c>
      <c r="BG49" s="44" t="str">
        <f>IF(AND(BA49="*",BE50="*"),1,"")</f>
        <v/>
      </c>
      <c r="BH49" s="44" t="str">
        <f>IF(AND(BE50="*", OR(BB49="*", BC49="*",BD49="*")),1,"")</f>
        <v/>
      </c>
      <c r="BI49" s="44" t="str">
        <f>IF(AND(BA50="*",OR(BB49="*",BC49="*",BD49="*",BE49="*")),1,IF(AND(BE49="*",OR(BA50="*",BB50="*",BC50="*",BD50="*")),1,""))</f>
        <v/>
      </c>
      <c r="BJ49" s="44" t="str">
        <f>IF(AND(BB49="*",OR(BB50="*",BC50="*",BD50="*")),1,IF(AND(BC49="*",OR(BB50="*",BC50="*",BD50="*")),1,IF(AND(BD49="*",OR(BB50="*",BC50="*",BD50="*")),1,"")))</f>
        <v/>
      </c>
      <c r="BK49" s="44" t="str">
        <f>IF(AND(BA49="*",BA50="*"),1,"")</f>
        <v/>
      </c>
      <c r="BM49" s="44"/>
      <c r="BN49" s="44"/>
      <c r="BO49" s="44"/>
      <c r="BP49" s="44"/>
      <c r="BQ49" s="44"/>
      <c r="BR49" s="44"/>
      <c r="BS49" s="44" t="str">
        <f>IF(AND(BM49="*",OR(BN50="*",BO50="*",BP50="*")), 1,"")</f>
        <v/>
      </c>
      <c r="BT49" s="44" t="str">
        <f>IF(AND(BM49="*",BQ50="*"),1,"")</f>
        <v/>
      </c>
      <c r="BU49" s="44" t="str">
        <f>IF(AND(BQ50="*", OR(BN49="*", BO49="*",BP49="*")),1,"")</f>
        <v/>
      </c>
      <c r="BV49" s="44" t="str">
        <f>IF(AND(BM50="*",OR(BN49="*",BO49="*",BP49="*",BQ49="*")),1,IF(AND(BQ49="*",OR(BM50="*",BN50="*",BO50="*",BP50="*")),1,""))</f>
        <v/>
      </c>
      <c r="BW49" s="44" t="str">
        <f>IF(AND(BN49="*",OR(BN50="*",BO50="*",BP50="*")),1,IF(AND(BO49="*",OR(BN50="*",BO50="*",BP50="*")),1,IF(AND(BP49="*",OR(BN50="*",BO50="*",BP50="*")),1,"")))</f>
        <v/>
      </c>
      <c r="BX49" s="44" t="str">
        <f>IF(AND(BM49="*",BM50="*"),1,"")</f>
        <v/>
      </c>
      <c r="BZ49" s="44"/>
      <c r="CA49" s="44"/>
      <c r="CB49" s="44"/>
      <c r="CC49" s="44"/>
      <c r="CD49" s="44"/>
      <c r="CE49" s="44" t="str">
        <f>IF(AND(BZ49="*",OR(CA50="*",CB50="*",CC50="*")), 1,"")</f>
        <v/>
      </c>
      <c r="CF49" s="44" t="str">
        <f>IF(AND(BZ49="*",CD50="*"),1,"")</f>
        <v/>
      </c>
      <c r="CG49" s="44" t="str">
        <f>IF(AND(CD50="*", OR(CA49="*", CB49="*",CC49="*")),1,"")</f>
        <v/>
      </c>
      <c r="CH49" s="44" t="str">
        <f>IF(AND(BZ50="*",OR(CA49="*",CB49="*",CC49="*",CD49="*")),1,IF(AND(CD49="*",OR(BZ50="*",CA50="*",CB50="*",CC50="*")),1,""))</f>
        <v/>
      </c>
      <c r="CI49" s="44" t="str">
        <f>IF(AND(CA49="*",OR(CA50="*",CB50="*",CC50="*")),1,IF(AND(CB49="*",OR(CA50="*",CB50="*",CC50="*")),1,IF(AND(CC49="*",OR(CA50="*",CB50="*",CC50="*")),1,"")))</f>
        <v/>
      </c>
      <c r="CJ49" s="44" t="str">
        <f>IF(AND(BZ49="*",BZ50="*"),1,"")</f>
        <v/>
      </c>
      <c r="CL49" s="44"/>
      <c r="CM49" s="44"/>
      <c r="CN49" s="44"/>
      <c r="CO49" s="44"/>
      <c r="CP49" s="44"/>
      <c r="CQ49" s="44" t="str">
        <f>IF(AND(CL49="*",OR(CM50="*",CN50="*",CO50="*")), 1,"")</f>
        <v/>
      </c>
      <c r="CR49" s="44" t="str">
        <f>IF(AND(CL49="*",CP50="*"),1,"")</f>
        <v/>
      </c>
      <c r="CS49" s="44" t="str">
        <f>IF(AND(CP50="*", OR(CM49="*", CN49="*",CO49="*")),1,"")</f>
        <v/>
      </c>
      <c r="CT49" s="44" t="str">
        <f>IF(AND(CL50="*",OR(CM49="*",CN49="*",CO49="*",CP49="*")),1,IF(AND(CP49="*",OR(CL50="*",CM50="*",CN50="*",CO50="*")),1,""))</f>
        <v/>
      </c>
      <c r="CU49" s="44" t="str">
        <f>IF(AND(CM49="*",OR(CM50="*",CN50="*",CO50="*")),1,IF(AND(CN49="*",OR(CM50="*",CN50="*",CO50="*")),1,IF(AND(CO49="*",OR(CM50="*",CN50="*",CO50="*")),1,"")))</f>
        <v/>
      </c>
      <c r="CV49" s="44" t="str">
        <f>IF(AND(CL49="*",CL50="*"),1,"")</f>
        <v/>
      </c>
      <c r="CX49" s="44"/>
      <c r="CY49" s="44"/>
      <c r="CZ49" s="44"/>
      <c r="DA49" s="44"/>
      <c r="DB49" s="44"/>
      <c r="DC49" s="44" t="str">
        <f>IF(AND(CX49="*",OR(CY50="*",CZ50="*",DA50="*")), 1,"")</f>
        <v/>
      </c>
      <c r="DD49" s="44" t="str">
        <f>IF(AND(CX49="*",DB50="*"),1,"")</f>
        <v/>
      </c>
      <c r="DE49" s="44" t="str">
        <f>IF(AND(DB50="*", OR(CY49="*", CZ49="*",DA49="*")),1,"")</f>
        <v/>
      </c>
      <c r="DF49" s="44" t="str">
        <f>IF(AND(CX50="*",OR(CY49="*",CZ49="*",DA49="*",DB49="*")),1,IF(AND(DB49="*",OR(CX50="*",CY50="*",CZ50="*",DA50="*")),1,""))</f>
        <v/>
      </c>
      <c r="DG49" s="44" t="str">
        <f>IF(AND(CY49="*",OR(CY50="*",CZ50="*",DA50="*")),1,IF(AND(CZ49="*",OR(CY50="*",CZ50="*",DA50="*")),1,IF(AND(DA49="*",OR(CY50="*",CZ50="*",DA50="*")),1,"")))</f>
        <v/>
      </c>
      <c r="DH49" s="44" t="str">
        <f>IF(AND(CX49="*",CX50="*"),1,"")</f>
        <v/>
      </c>
      <c r="DJ49" s="44"/>
      <c r="DK49" s="44"/>
      <c r="DL49" s="44"/>
      <c r="DM49" s="44"/>
      <c r="DN49" s="44"/>
      <c r="DO49" s="44" t="str">
        <f>IF(AND(DJ49="*",OR(DK50="*",DL50="*",DM50="*")), 1,"")</f>
        <v/>
      </c>
      <c r="DP49" s="44" t="str">
        <f>IF(AND(DJ49="*",DN50="*"),1,"")</f>
        <v/>
      </c>
      <c r="DQ49" s="44" t="str">
        <f>IF(AND(DN50="*", OR(DK49="*", DL49="*",DM49="*")),1,"")</f>
        <v/>
      </c>
      <c r="DR49" s="44" t="str">
        <f>IF(AND(DJ50="*",OR(DK49="*",DL49="*",DM49="*",DN49="*")),1,IF(AND(DN49="*",OR(DJ50="*",DK50="*",DL50="*",DM50="*")),1,""))</f>
        <v/>
      </c>
      <c r="DS49" s="44" t="str">
        <f>IF(AND(DK49="*",OR(DK50="*",DL50="*",DM50="*")),1,IF(AND(DL49="*",OR(DK50="*",DL50="*",DM50="*")),1,IF(AND(DM49="*",OR(DK50="*",DL50="*",DM50="*")),1,"")))</f>
        <v/>
      </c>
      <c r="DT49" s="44" t="str">
        <f>IF(AND(DJ49="*",DJ50="*"),1,"")</f>
        <v/>
      </c>
      <c r="DV49" s="44"/>
      <c r="DW49" s="44"/>
      <c r="DX49" s="44"/>
      <c r="DY49" s="44"/>
      <c r="DZ49" s="44"/>
      <c r="EA49" s="44" t="str">
        <f>IF(AND(DV49="*",OR(DW50="*",DX50="*",DY50="*")), 1,"")</f>
        <v/>
      </c>
      <c r="EB49" s="44" t="str">
        <f>IF(AND(DV49="*",DZ50="*"),1,"")</f>
        <v/>
      </c>
      <c r="EC49" s="44" t="str">
        <f>IF(AND(DZ50="*", OR(DW49="*", DX49="*",DY49="*")),1,"")</f>
        <v/>
      </c>
      <c r="ED49" s="44" t="str">
        <f>IF(AND(DV50="*",OR(DW49="*",DX49="*",DY49="*",DZ49="*")),1,IF(AND(DZ49="*",OR(DV50="*",DW50="*",DX50="*",DY50="*")),1,""))</f>
        <v/>
      </c>
      <c r="EE49" s="44" t="str">
        <f>IF(AND(DW49="*",OR(DW50="*",DX50="*",DY50="*")),1,IF(AND(DX49="*",OR(DW50="*",DX50="*",DY50="*")),1,IF(AND(DY49="*",OR(DW50="*",DX50="*",DY50="*")),1,"")))</f>
        <v/>
      </c>
      <c r="EF49" s="44" t="str">
        <f>IF(AND(DV49="*",DV50="*"),1,"")</f>
        <v/>
      </c>
      <c r="EH49" s="44"/>
      <c r="EI49" s="44"/>
      <c r="EJ49" s="44"/>
      <c r="EK49" s="44"/>
      <c r="EL49" s="44"/>
      <c r="EM49" s="44" t="str">
        <f>IF(AND(EH49="*",OR(EI50="*",EJ50="*",EK50="*")), 1,"")</f>
        <v/>
      </c>
      <c r="EN49" s="44" t="str">
        <f>IF(AND(EH49="*",EL50="*"),1,"")</f>
        <v/>
      </c>
      <c r="EO49" s="44" t="str">
        <f>IF(AND(EL50="*", OR(EI49="*", EJ49="*",EK49="*")),1,"")</f>
        <v/>
      </c>
      <c r="EP49" s="44" t="str">
        <f>IF(AND(EH50="*",OR(EI49="*",EJ49="*",EK49="*",EL49="*")),1,IF(AND(EL49="*",OR(EH50="*",EI50="*",EJ50="*",EK50="*")),1,""))</f>
        <v/>
      </c>
      <c r="EQ49" s="44" t="str">
        <f>IF(AND(EI49="*",OR(EI50="*",EJ50="*",EK50="*")),1,IF(AND(EJ49="*",OR(EI50="*",EJ50="*",EK50="*")),1,IF(AND(EK49="*",OR(EI50="*",EJ50="*",EK50="*")),1,"")))</f>
        <v/>
      </c>
      <c r="ER49" s="44" t="str">
        <f>IF(AND(EH49="*",EH50="*"),1,"")</f>
        <v/>
      </c>
      <c r="ET49" s="44"/>
      <c r="EU49" s="44"/>
      <c r="EV49" s="44"/>
      <c r="EW49" s="44"/>
      <c r="EX49" s="44"/>
      <c r="EY49" s="44" t="str">
        <f>IF(AND(ET49="*",OR(EU50="*",EV50="*",EW50="*")), 1,"")</f>
        <v/>
      </c>
      <c r="EZ49" s="44" t="str">
        <f>IF(AND(ET49="*",EX50="*"),1,"")</f>
        <v/>
      </c>
      <c r="FA49" s="44" t="str">
        <f>IF(AND(EX50="*", OR(EU49="*", EV49="*",EW49="*")),1,"")</f>
        <v/>
      </c>
      <c r="FB49" s="44" t="str">
        <f>IF(AND(ET50="*",OR(EU49="*",EV49="*",EW49="*",EX49="*")),1,IF(AND(EX49="*",OR(ET50="*",EU50="*",EV50="*",EW50="*")),1,""))</f>
        <v/>
      </c>
      <c r="FC49" s="44" t="str">
        <f>IF(AND(EU49="*",OR(EU50="*",EV50="*",EW50="*")),1,IF(AND(EV49="*",OR(EU50="*",EV50="*",EW50="*")),1,IF(AND(EW49="*",OR(EU50="*",EV50="*",EW50="*")),1,"")))</f>
        <v/>
      </c>
      <c r="FD49" s="44" t="str">
        <f>IF(AND(ET49="*",ET50="*"),1,"")</f>
        <v/>
      </c>
      <c r="FF49" s="44"/>
      <c r="FG49" s="44"/>
      <c r="FH49" s="44"/>
      <c r="FI49" s="44"/>
      <c r="FJ49" s="44"/>
      <c r="FK49" s="44" t="str">
        <f>IF(AND(FF49="*",OR(FG50="*",FH50="*",FI50="*")), 1,"")</f>
        <v/>
      </c>
      <c r="FL49" s="44" t="str">
        <f>IF(AND(FF49="*",FJ50="*"),1,"")</f>
        <v/>
      </c>
      <c r="FM49" s="44" t="str">
        <f>IF(AND(FJ50="*", OR(FG49="*", FH49="*",FI49="*")),1,"")</f>
        <v/>
      </c>
      <c r="FN49" s="44" t="str">
        <f>IF(AND(FF50="*",OR(FG49="*",FH49="*",FI49="*",FJ49="*")),1,IF(AND(FJ49="*",OR(FF50="*",FG50="*",FH50="*",FI50="*")),1,""))</f>
        <v/>
      </c>
      <c r="FO49" s="44" t="str">
        <f>IF(AND(FG49="*",OR(FG50="*",FH50="*",FI50="*")),1,IF(AND(FH49="*",OR(FG50="*",FH50="*",FI50="*")),1,IF(AND(FI49="*",OR(FG50="*",FH50="*",FI50="*")),1,"")))</f>
        <v/>
      </c>
      <c r="FP49" s="44" t="str">
        <f>IF(AND(FF49="*",FF50="*"),1,"")</f>
        <v/>
      </c>
      <c r="FR49" s="44"/>
      <c r="FS49" s="44"/>
      <c r="FT49" s="44"/>
      <c r="FU49" s="44"/>
      <c r="FV49" s="44"/>
      <c r="FW49" s="44" t="str">
        <f>IF(AND(FR49="*",OR(FS50="*",FT50="*",FU50="*")), 1,"")</f>
        <v/>
      </c>
      <c r="FX49" s="44" t="str">
        <f>IF(AND(FR49="*",FV50="*"),1,"")</f>
        <v/>
      </c>
      <c r="FY49" s="44" t="str">
        <f>IF(AND(FV50="*", OR(FS49="*", FT49="*",FU49="*")),1,"")</f>
        <v/>
      </c>
      <c r="FZ49" s="44" t="str">
        <f>IF(AND(FR50="*",OR(FS49="*",FT49="*",FU49="*",FV49="*")),1,IF(AND(FV49="*",OR(FR50="*",FS50="*",FT50="*",FU50="*")),1,""))</f>
        <v/>
      </c>
      <c r="GA49" s="44" t="str">
        <f>IF(AND(FS49="*",OR(FS50="*",FT50="*",FU50="*")),1,IF(AND(FT49="*",OR(FS50="*",FT50="*",FU50="*")),1,IF(AND(FU49="*",OR(FS50="*",FT50="*",FU50="*")),1,"")))</f>
        <v/>
      </c>
      <c r="GB49" s="44" t="str">
        <f>IF(AND(FR49="*",FR50="*"),1,"")</f>
        <v/>
      </c>
      <c r="GD49" s="44"/>
      <c r="GE49" s="44"/>
      <c r="GF49" s="44"/>
      <c r="GG49" s="44"/>
      <c r="GH49" s="44"/>
      <c r="GI49" s="44"/>
      <c r="GJ49" s="44" t="str">
        <f>IF(AND(GD49="*",OR(GE50="*",GF50="*",GG50="*")), 1,"")</f>
        <v/>
      </c>
      <c r="GK49" s="44" t="str">
        <f>IF(AND(GD49="*",GH50="*"),1,"")</f>
        <v/>
      </c>
      <c r="GL49" s="44" t="str">
        <f>IF(AND(GH50="*", OR(GE49="*", GF49="*",GG49="*")),1,"")</f>
        <v/>
      </c>
      <c r="GM49" s="44" t="str">
        <f>IF(AND(GD50="*",OR(GE49="*",GF49="*",GG49="*",GH49="*")),1,IF(AND(GH49="*",OR(GD50="*",GE50="*",GF50="*",GG50="*")),1,""))</f>
        <v/>
      </c>
      <c r="GN49" s="44" t="str">
        <f>IF(AND(GE49="*",OR(GE50="*",GF50="*",GG50="*")),1,IF(AND(GF49="*",OR(GE50="*",GF50="*",GG50="*")),1,IF(AND(GG49="*",OR(GE50="*",GF50="*",GG50="*")),1,"")))</f>
        <v/>
      </c>
      <c r="GO49" s="44" t="str">
        <f>IF(AND(GD49="*",GD50="*"),1,"")</f>
        <v/>
      </c>
      <c r="GQ49" s="44"/>
      <c r="GR49" s="44"/>
      <c r="GS49" s="44"/>
      <c r="GT49" s="44"/>
      <c r="GU49" s="44"/>
      <c r="GV49" s="44" t="str">
        <f>IF(AND(GQ49="*",OR(GR50="*",GS50="*",GT50="*")), 1,"")</f>
        <v/>
      </c>
      <c r="GW49" s="44" t="str">
        <f>IF(AND(GQ49="*",GU50="*"),1,"")</f>
        <v/>
      </c>
      <c r="GX49" s="44" t="str">
        <f>IF(AND(GU50="*", OR(GR49="*", GS49="*",GT49="*")),1,"")</f>
        <v/>
      </c>
      <c r="GY49" s="44" t="str">
        <f>IF(AND(GQ50="*",OR(GR49="*",GS49="*",GT49="*",GU49="*")),1,IF(AND(GU49="*",OR(GQ50="*",GR50="*",GS50="*",GT50="*")),1,""))</f>
        <v/>
      </c>
      <c r="GZ49" s="44" t="str">
        <f>IF(AND(GR49="*",OR(GR50="*",GS50="*",GT50="*")),1,IF(AND(GS49="*",OR(GR50="*",GS50="*",GT50="*")),1,IF(AND(GT49="*",OR(GR50="*",GS50="*",GT50="*")),1,"")))</f>
        <v/>
      </c>
      <c r="HA49" s="44" t="str">
        <f>IF(AND(GQ49="*",GQ50="*"),1,"")</f>
        <v/>
      </c>
      <c r="HC49" s="44"/>
      <c r="HD49" s="44"/>
      <c r="HE49" s="44"/>
      <c r="HF49" s="44"/>
      <c r="HG49" s="44"/>
      <c r="HH49" s="44" t="str">
        <f>IF(AND(HC49="*",OR(HD50="*",HE50="*",HF50="*")), 1,"")</f>
        <v/>
      </c>
      <c r="HI49" s="44" t="str">
        <f>IF(AND(HC49="*",HG50="*"),1,"")</f>
        <v/>
      </c>
      <c r="HJ49" s="44" t="str">
        <f>IF(AND(HG50="*", OR(HD49="*", HE49="*",HF49="*")),1,"")</f>
        <v/>
      </c>
      <c r="HK49" s="44" t="str">
        <f>IF(AND(HC50="*",OR(HD49="*",HE49="*",HF49="*",HG49="*")),1,IF(AND(HG49="*",OR(HC50="*",HD50="*",HE50="*",HF50="*")),1,""))</f>
        <v/>
      </c>
      <c r="HL49" s="44" t="str">
        <f>IF(AND(HD49="*",OR(HD50="*",HE50="*",HF50="*")),1,IF(AND(HE49="*",OR(HD50="*",HE50="*",HF50="*")),1,IF(AND(HF49="*",OR(HD50="*",HE50="*",HF50="*")),1,"")))</f>
        <v/>
      </c>
      <c r="HM49" s="44" t="str">
        <f>IF(AND(HC49="*",HC50="*"),1,"")</f>
        <v/>
      </c>
      <c r="HO49" s="44"/>
      <c r="HP49" s="44"/>
      <c r="HQ49" s="44"/>
      <c r="HR49" s="44"/>
      <c r="HS49" s="44"/>
      <c r="HT49" s="44" t="str">
        <f>IF(AND(HO49="*",OR(HP50="*",HQ50="*",HR50="*")), 1,"")</f>
        <v/>
      </c>
      <c r="HU49" s="44" t="str">
        <f>IF(AND(HO49="*",HS50="*"),1,"")</f>
        <v/>
      </c>
      <c r="HV49" s="44" t="str">
        <f>IF(AND(HS50="*", OR(HP49="*", HQ49="*",HR49="*")),1,"")</f>
        <v/>
      </c>
      <c r="HW49" s="44" t="str">
        <f>IF(AND(HO50="*",OR(HP49="*",HQ49="*",HR49="*",HS49="*")),1,IF(AND(HS49="*",OR(HO50="*",HP50="*",HQ50="*",HR50="*")),1,""))</f>
        <v/>
      </c>
      <c r="HX49" s="44" t="str">
        <f>IF(AND(HP49="*",OR(HP50="*",HQ50="*",HR50="*")),1,IF(AND(HQ49="*",OR(HP50="*",HQ50="*",HR50="*")),1,IF(AND(HR49="*",OR(HP50="*",HQ50="*",HR50="*")),1,"")))</f>
        <v/>
      </c>
      <c r="HY49" s="44" t="str">
        <f>IF(AND(HO49="*",HO50="*"),1,"")</f>
        <v/>
      </c>
      <c r="IA49" s="44"/>
      <c r="IB49" s="44"/>
      <c r="IC49" s="44"/>
      <c r="ID49" s="44"/>
      <c r="IE49" s="44"/>
      <c r="IF49" s="44" t="str">
        <f>IF(AND(IA49="*",OR(IB50="*",IC50="*",ID50="*")), 1,"")</f>
        <v/>
      </c>
      <c r="IG49" s="44" t="str">
        <f>IF(AND(IA49="*",IE50="*"),1,"")</f>
        <v/>
      </c>
      <c r="IH49" s="44" t="str">
        <f>IF(AND(IE50="*", OR(IB49="*", IC49="*",ID49="*")),1,"")</f>
        <v/>
      </c>
      <c r="II49" s="44" t="str">
        <f>IF(AND(IA50="*",OR(IB49="*",IC49="*",ID49="*",IE49="*")),1,IF(AND(IE49="*",OR(IA50="*",IB50="*",IC50="*",ID50="*")),1,""))</f>
        <v/>
      </c>
      <c r="IJ49" s="44" t="str">
        <f>IF(AND(IB49="*",OR(IB50="*",IC50="*",ID50="*")),1,IF(AND(IC49="*",OR(IB50="*",IC50="*",ID50="*")),1,IF(AND(ID49="*",OR(IB50="*",IC50="*",ID50="*")),1,"")))</f>
        <v/>
      </c>
      <c r="IK49" s="44" t="str">
        <f>IF(AND(IA49="*",IA50="*"),1,"")</f>
        <v/>
      </c>
      <c r="IL49" s="44">
        <f>COUNT(J49,V49,AH49,AT49,BF49,BS49,CE49,CQ49,DC49,DO49,EA49,EM49,EY49,FK49,FW49,GJ49,GV49,HH49,HT49,IF49)</f>
        <v>0</v>
      </c>
      <c r="IM49" s="44">
        <f t="shared" ref="IM49:IQ49" si="23">COUNT(K49,W49,AI49,AU49,BG49,BT49,CF49,CR49,DD49,DP49,EB49,EN49,EZ49,FL49,FX49,GK49,GW49,HI49,HU49,IG49)</f>
        <v>0</v>
      </c>
      <c r="IN49" s="44">
        <f t="shared" si="23"/>
        <v>0</v>
      </c>
      <c r="IO49" s="44">
        <f t="shared" si="23"/>
        <v>0</v>
      </c>
      <c r="IP49" s="44">
        <f t="shared" si="23"/>
        <v>0</v>
      </c>
      <c r="IQ49" s="44">
        <f t="shared" si="23"/>
        <v>0</v>
      </c>
    </row>
    <row r="50" spans="2:251" ht="15" customHeight="1" x14ac:dyDescent="0.4">
      <c r="B50" s="273"/>
      <c r="C50" s="275"/>
      <c r="D50" s="42" t="s">
        <v>70</v>
      </c>
      <c r="E50" s="44"/>
      <c r="F50" s="44"/>
      <c r="G50" s="44"/>
      <c r="H50" s="44"/>
      <c r="I50" s="44"/>
      <c r="J50" s="43"/>
      <c r="K50" s="43"/>
      <c r="L50" s="43"/>
      <c r="M50" s="43"/>
      <c r="N50" s="43"/>
      <c r="O50" s="43"/>
      <c r="Q50" s="44"/>
      <c r="R50" s="44"/>
      <c r="S50" s="44"/>
      <c r="T50" s="44"/>
      <c r="U50" s="44"/>
      <c r="V50" s="43"/>
      <c r="W50" s="43"/>
      <c r="X50" s="43"/>
      <c r="Y50" s="43"/>
      <c r="Z50" s="43"/>
      <c r="AA50" s="43"/>
      <c r="AC50" s="44"/>
      <c r="AD50" s="44"/>
      <c r="AE50" s="44"/>
      <c r="AF50" s="44"/>
      <c r="AG50" s="44"/>
      <c r="AH50" s="43"/>
      <c r="AI50" s="43"/>
      <c r="AJ50" s="43"/>
      <c r="AK50" s="43"/>
      <c r="AL50" s="43"/>
      <c r="AM50" s="43"/>
      <c r="AO50" s="44"/>
      <c r="AP50" s="44"/>
      <c r="AQ50" s="44"/>
      <c r="AR50" s="44"/>
      <c r="AS50" s="44"/>
      <c r="AT50" s="43"/>
      <c r="AU50" s="43"/>
      <c r="AV50" s="43"/>
      <c r="AW50" s="43"/>
      <c r="AX50" s="43"/>
      <c r="AY50" s="43"/>
      <c r="BA50" s="44"/>
      <c r="BB50" s="44"/>
      <c r="BC50" s="44"/>
      <c r="BD50" s="44"/>
      <c r="BE50" s="44"/>
      <c r="BF50" s="43"/>
      <c r="BG50" s="43"/>
      <c r="BH50" s="43"/>
      <c r="BI50" s="43"/>
      <c r="BJ50" s="43"/>
      <c r="BK50" s="43"/>
      <c r="BM50" s="44"/>
      <c r="BN50" s="44"/>
      <c r="BO50" s="44"/>
      <c r="BP50" s="44"/>
      <c r="BQ50" s="44"/>
      <c r="BR50" s="44"/>
      <c r="BS50" s="43"/>
      <c r="BT50" s="43"/>
      <c r="BU50" s="43"/>
      <c r="BV50" s="43"/>
      <c r="BW50" s="43"/>
      <c r="BX50" s="43"/>
      <c r="BZ50" s="44"/>
      <c r="CA50" s="44"/>
      <c r="CB50" s="44"/>
      <c r="CC50" s="44"/>
      <c r="CD50" s="44"/>
      <c r="CE50" s="43"/>
      <c r="CF50" s="43"/>
      <c r="CG50" s="43"/>
      <c r="CH50" s="43"/>
      <c r="CI50" s="43"/>
      <c r="CJ50" s="43"/>
      <c r="CL50" s="44"/>
      <c r="CM50" s="44"/>
      <c r="CN50" s="44"/>
      <c r="CO50" s="44"/>
      <c r="CP50" s="44"/>
      <c r="CQ50" s="43"/>
      <c r="CR50" s="43"/>
      <c r="CS50" s="43"/>
      <c r="CT50" s="43"/>
      <c r="CU50" s="43"/>
      <c r="CV50" s="43"/>
      <c r="CX50" s="44"/>
      <c r="CY50" s="44"/>
      <c r="CZ50" s="44"/>
      <c r="DA50" s="44"/>
      <c r="DB50" s="44"/>
      <c r="DC50" s="43"/>
      <c r="DD50" s="43"/>
      <c r="DE50" s="43"/>
      <c r="DF50" s="43"/>
      <c r="DG50" s="43"/>
      <c r="DH50" s="43"/>
      <c r="DJ50" s="44"/>
      <c r="DK50" s="44"/>
      <c r="DL50" s="44"/>
      <c r="DM50" s="44"/>
      <c r="DN50" s="44"/>
      <c r="DO50" s="43"/>
      <c r="DP50" s="43"/>
      <c r="DQ50" s="43"/>
      <c r="DR50" s="43"/>
      <c r="DS50" s="43"/>
      <c r="DT50" s="43"/>
      <c r="DV50" s="44"/>
      <c r="DW50" s="44"/>
      <c r="DX50" s="44"/>
      <c r="DY50" s="44"/>
      <c r="DZ50" s="44"/>
      <c r="EA50" s="43"/>
      <c r="EB50" s="43"/>
      <c r="EC50" s="43"/>
      <c r="ED50" s="43"/>
      <c r="EE50" s="43"/>
      <c r="EF50" s="43"/>
      <c r="EH50" s="44"/>
      <c r="EI50" s="44"/>
      <c r="EJ50" s="44"/>
      <c r="EK50" s="44"/>
      <c r="EL50" s="44"/>
      <c r="EM50" s="43"/>
      <c r="EN50" s="43"/>
      <c r="EO50" s="43"/>
      <c r="EP50" s="43"/>
      <c r="EQ50" s="43"/>
      <c r="ER50" s="43"/>
      <c r="ET50" s="44"/>
      <c r="EU50" s="44"/>
      <c r="EV50" s="44"/>
      <c r="EW50" s="44"/>
      <c r="EX50" s="44"/>
      <c r="EY50" s="43"/>
      <c r="EZ50" s="43"/>
      <c r="FA50" s="43"/>
      <c r="FB50" s="43"/>
      <c r="FC50" s="43"/>
      <c r="FD50" s="43"/>
      <c r="FF50" s="44"/>
      <c r="FG50" s="44"/>
      <c r="FH50" s="44"/>
      <c r="FI50" s="44"/>
      <c r="FJ50" s="44"/>
      <c r="FK50" s="43"/>
      <c r="FL50" s="43"/>
      <c r="FM50" s="43"/>
      <c r="FN50" s="43"/>
      <c r="FO50" s="43"/>
      <c r="FP50" s="43"/>
      <c r="FR50" s="44"/>
      <c r="FS50" s="44"/>
      <c r="FT50" s="44"/>
      <c r="FU50" s="44"/>
      <c r="FV50" s="44"/>
      <c r="FW50" s="43"/>
      <c r="FX50" s="43"/>
      <c r="FY50" s="43"/>
      <c r="FZ50" s="43"/>
      <c r="GA50" s="43"/>
      <c r="GB50" s="43"/>
      <c r="GD50" s="44"/>
      <c r="GE50" s="44"/>
      <c r="GF50" s="44"/>
      <c r="GG50" s="44"/>
      <c r="GH50" s="44"/>
      <c r="GI50" s="44"/>
      <c r="GJ50" s="43"/>
      <c r="GK50" s="43"/>
      <c r="GL50" s="43"/>
      <c r="GM50" s="43"/>
      <c r="GN50" s="43"/>
      <c r="GO50" s="43"/>
      <c r="GQ50" s="44"/>
      <c r="GR50" s="44"/>
      <c r="GS50" s="44"/>
      <c r="GT50" s="44"/>
      <c r="GU50" s="44"/>
      <c r="GV50" s="43"/>
      <c r="GW50" s="43"/>
      <c r="GX50" s="43"/>
      <c r="GY50" s="43"/>
      <c r="GZ50" s="43"/>
      <c r="HA50" s="43"/>
      <c r="HC50" s="44"/>
      <c r="HD50" s="44"/>
      <c r="HE50" s="44"/>
      <c r="HF50" s="44"/>
      <c r="HG50" s="44"/>
      <c r="HH50" s="43"/>
      <c r="HI50" s="43"/>
      <c r="HJ50" s="43"/>
      <c r="HK50" s="43"/>
      <c r="HL50" s="43"/>
      <c r="HM50" s="43"/>
      <c r="HO50" s="44"/>
      <c r="HP50" s="44"/>
      <c r="HQ50" s="44"/>
      <c r="HR50" s="44"/>
      <c r="HS50" s="44"/>
      <c r="HT50" s="43"/>
      <c r="HU50" s="43"/>
      <c r="HV50" s="43"/>
      <c r="HW50" s="43"/>
      <c r="HX50" s="43"/>
      <c r="HY50" s="43"/>
      <c r="IA50" s="44"/>
      <c r="IB50" s="44"/>
      <c r="IC50" s="44"/>
      <c r="ID50" s="44"/>
      <c r="IE50" s="44"/>
      <c r="IF50" s="43"/>
      <c r="IG50" s="43"/>
      <c r="IH50" s="43"/>
      <c r="II50" s="43"/>
      <c r="IJ50" s="43"/>
      <c r="IK50" s="43"/>
    </row>
    <row r="51" spans="2:251" ht="15" customHeight="1" x14ac:dyDescent="0.4">
      <c r="B51" s="276">
        <v>25</v>
      </c>
      <c r="C51" s="278">
        <f>고객요구사항도출표!C29</f>
        <v>0</v>
      </c>
      <c r="D51" s="40" t="s">
        <v>75</v>
      </c>
      <c r="E51" s="41"/>
      <c r="F51" s="41"/>
      <c r="G51" s="41"/>
      <c r="H51" s="41"/>
      <c r="I51" s="41"/>
      <c r="J51" s="41" t="str">
        <f>IF(AND(E51="*",OR(F52="*",G52="*",H52="*")), 1,"")</f>
        <v/>
      </c>
      <c r="K51" s="41" t="str">
        <f>IF(AND(E51="*",I52="*"),1,"")</f>
        <v/>
      </c>
      <c r="L51" s="41" t="str">
        <f>IF(AND(I52="*", OR(F51="*", G51="*",H51="*")),1,"")</f>
        <v/>
      </c>
      <c r="M51" s="41" t="str">
        <f>IF(AND(E52="*",OR(F51="*",G51="*",H51="*",I51="*")),1,IF(AND(I51="*",OR(E52="*",F52="*",G52="*",H52="*")),1,""))</f>
        <v/>
      </c>
      <c r="N51" s="41" t="str">
        <f>IF(AND(F51="*",OR(F52="*",G52="*",H52="*")),1,IF(AND(G51="*",OR(F52="*",G52="*",H52="*")),1,IF(AND(H51="*",OR(F52="*",G52="*",H52="*")),1,"")))</f>
        <v/>
      </c>
      <c r="O51" s="41" t="str">
        <f>IF(AND(E51="*",E52="*"),1,"")</f>
        <v/>
      </c>
      <c r="Q51" s="41"/>
      <c r="R51" s="41"/>
      <c r="S51" s="41"/>
      <c r="T51" s="41"/>
      <c r="U51" s="41"/>
      <c r="V51" s="41" t="str">
        <f>IF(AND(Q51="*",OR(R52="*",S52="*",T52="*")), 1,"")</f>
        <v/>
      </c>
      <c r="W51" s="41" t="str">
        <f>IF(AND(Q51="*",U52="*"),1,"")</f>
        <v/>
      </c>
      <c r="X51" s="41" t="str">
        <f>IF(AND(U52="*", OR(R51="*", S51="*",T51="*")),1,"")</f>
        <v/>
      </c>
      <c r="Y51" s="41" t="str">
        <f>IF(AND(Q52="*",OR(R51="*",S51="*",T51="*",U51="*")),1,IF(AND(U51="*",OR(Q52="*",R52="*",S52="*",T52="*")),1,""))</f>
        <v/>
      </c>
      <c r="Z51" s="41" t="str">
        <f>IF(AND(R51="*",OR(R52="*",S52="*",T52="*")),1,IF(AND(S51="*",OR(R52="*",S52="*",T52="*")),1,IF(AND(T51="*",OR(R52="*",S52="*",T52="*")),1,"")))</f>
        <v/>
      </c>
      <c r="AA51" s="41" t="str">
        <f>IF(AND(Q51="*",Q52="*"),1,"")</f>
        <v/>
      </c>
      <c r="AC51" s="41"/>
      <c r="AD51" s="41"/>
      <c r="AE51" s="41"/>
      <c r="AF51" s="41"/>
      <c r="AG51" s="41"/>
      <c r="AH51" s="41" t="str">
        <f>IF(AND(AC51="*",OR(AD52="*",AE52="*",AF52="*")), 1,"")</f>
        <v/>
      </c>
      <c r="AI51" s="41" t="str">
        <f>IF(AND(AC51="*",AG52="*"),1,"")</f>
        <v/>
      </c>
      <c r="AJ51" s="41" t="str">
        <f>IF(AND(AG52="*", OR(AD51="*", AE51="*",AF51="*")),1,"")</f>
        <v/>
      </c>
      <c r="AK51" s="41" t="str">
        <f>IF(AND(AC52="*",OR(AD51="*",AE51="*",AF51="*",AG51="*")),1,IF(AND(AG51="*",OR(AC52="*",AD52="*",AE52="*",AF52="*")),1,""))</f>
        <v/>
      </c>
      <c r="AL51" s="41" t="str">
        <f>IF(AND(AD51="*",OR(AD52="*",AE52="*",AF52="*")),1,IF(AND(AE51="*",OR(AD52="*",AE52="*",AF52="*")),1,IF(AND(AF51="*",OR(AD52="*",AE52="*",AF52="*")),1,"")))</f>
        <v/>
      </c>
      <c r="AM51" s="41" t="str">
        <f>IF(AND(AC51="*",AC52="*"),1,"")</f>
        <v/>
      </c>
      <c r="AO51" s="41"/>
      <c r="AP51" s="41"/>
      <c r="AQ51" s="41"/>
      <c r="AR51" s="41"/>
      <c r="AS51" s="41"/>
      <c r="AT51" s="41" t="str">
        <f>IF(AND(AO51="*",OR(AP52="*",AQ52="*",AR52="*")), 1,"")</f>
        <v/>
      </c>
      <c r="AU51" s="41" t="str">
        <f>IF(AND(AO51="*",AS52="*"),1,"")</f>
        <v/>
      </c>
      <c r="AV51" s="41" t="str">
        <f>IF(AND(AS52="*", OR(AP51="*", AQ51="*",AR51="*")),1,"")</f>
        <v/>
      </c>
      <c r="AW51" s="41" t="str">
        <f>IF(AND(AO52="*",OR(AP51="*",AQ51="*",AR51="*",AS51="*")),1,IF(AND(AS51="*",OR(AO52="*",AP52="*",AQ52="*",AR52="*")),1,""))</f>
        <v/>
      </c>
      <c r="AX51" s="41" t="str">
        <f>IF(AND(AP51="*",OR(AP52="*",AQ52="*",AR52="*")),1,IF(AND(AQ51="*",OR(AP52="*",AQ52="*",AR52="*")),1,IF(AND(AR51="*",OR(AP52="*",AQ52="*",AR52="*")),1,"")))</f>
        <v/>
      </c>
      <c r="AY51" s="41" t="str">
        <f>IF(AND(AO51="*",AO52="*"),1,"")</f>
        <v/>
      </c>
      <c r="BA51" s="41"/>
      <c r="BB51" s="41"/>
      <c r="BC51" s="41"/>
      <c r="BD51" s="41"/>
      <c r="BE51" s="41"/>
      <c r="BF51" s="41" t="str">
        <f>IF(AND(BA51="*",OR(BB52="*",BC52="*",BD52="*")), 1,"")</f>
        <v/>
      </c>
      <c r="BG51" s="41" t="str">
        <f>IF(AND(BA51="*",BE52="*"),1,"")</f>
        <v/>
      </c>
      <c r="BH51" s="41" t="str">
        <f>IF(AND(BE52="*", OR(BB51="*", BC51="*",BD51="*")),1,"")</f>
        <v/>
      </c>
      <c r="BI51" s="41" t="str">
        <f>IF(AND(BA52="*",OR(BB51="*",BC51="*",BD51="*",BE51="*")),1,IF(AND(BE51="*",OR(BA52="*",BB52="*",BC52="*",BD52="*")),1,""))</f>
        <v/>
      </c>
      <c r="BJ51" s="41" t="str">
        <f>IF(AND(BB51="*",OR(BB52="*",BC52="*",BD52="*")),1,IF(AND(BC51="*",OR(BB52="*",BC52="*",BD52="*")),1,IF(AND(BD51="*",OR(BB52="*",BC52="*",BD52="*")),1,"")))</f>
        <v/>
      </c>
      <c r="BK51" s="41" t="str">
        <f>IF(AND(BA51="*",BA52="*"),1,"")</f>
        <v/>
      </c>
      <c r="BM51" s="41"/>
      <c r="BN51" s="41"/>
      <c r="BO51" s="41"/>
      <c r="BP51" s="41"/>
      <c r="BQ51" s="41"/>
      <c r="BR51" s="41"/>
      <c r="BS51" s="41" t="str">
        <f>IF(AND(BM51="*",OR(BN52="*",BO52="*",BP52="*")), 1,"")</f>
        <v/>
      </c>
      <c r="BT51" s="41" t="str">
        <f>IF(AND(BM51="*",BQ52="*"),1,"")</f>
        <v/>
      </c>
      <c r="BU51" s="41" t="str">
        <f>IF(AND(BQ52="*", OR(BN51="*", BO51="*",BP51="*")),1,"")</f>
        <v/>
      </c>
      <c r="BV51" s="41" t="str">
        <f>IF(AND(BM52="*",OR(BN51="*",BO51="*",BP51="*",BQ51="*")),1,IF(AND(BQ51="*",OR(BM52="*",BN52="*",BO52="*",BP52="*")),1,""))</f>
        <v/>
      </c>
      <c r="BW51" s="41" t="str">
        <f>IF(AND(BN51="*",OR(BN52="*",BO52="*",BP52="*")),1,IF(AND(BO51="*",OR(BN52="*",BO52="*",BP52="*")),1,IF(AND(BP51="*",OR(BN52="*",BO52="*",BP52="*")),1,"")))</f>
        <v/>
      </c>
      <c r="BX51" s="41" t="str">
        <f>IF(AND(BM51="*",BM52="*"),1,"")</f>
        <v/>
      </c>
      <c r="BZ51" s="41"/>
      <c r="CA51" s="41"/>
      <c r="CB51" s="41"/>
      <c r="CC51" s="41"/>
      <c r="CD51" s="41"/>
      <c r="CE51" s="41" t="str">
        <f>IF(AND(BZ51="*",OR(CA52="*",CB52="*",CC52="*")), 1,"")</f>
        <v/>
      </c>
      <c r="CF51" s="41" t="str">
        <f>IF(AND(BZ51="*",CD52="*"),1,"")</f>
        <v/>
      </c>
      <c r="CG51" s="41" t="str">
        <f>IF(AND(CD52="*", OR(CA51="*", CB51="*",CC51="*")),1,"")</f>
        <v/>
      </c>
      <c r="CH51" s="41" t="str">
        <f>IF(AND(BZ52="*",OR(CA51="*",CB51="*",CC51="*",CD51="*")),1,IF(AND(CD51="*",OR(BZ52="*",CA52="*",CB52="*",CC52="*")),1,""))</f>
        <v/>
      </c>
      <c r="CI51" s="41" t="str">
        <f>IF(AND(CA51="*",OR(CA52="*",CB52="*",CC52="*")),1,IF(AND(CB51="*",OR(CA52="*",CB52="*",CC52="*")),1,IF(AND(CC51="*",OR(CA52="*",CB52="*",CC52="*")),1,"")))</f>
        <v/>
      </c>
      <c r="CJ51" s="41" t="str">
        <f>IF(AND(BZ51="*",BZ52="*"),1,"")</f>
        <v/>
      </c>
      <c r="CL51" s="41"/>
      <c r="CM51" s="41"/>
      <c r="CN51" s="41"/>
      <c r="CO51" s="41"/>
      <c r="CP51" s="41"/>
      <c r="CQ51" s="41" t="str">
        <f>IF(AND(CL51="*",OR(CM52="*",CN52="*",CO52="*")), 1,"")</f>
        <v/>
      </c>
      <c r="CR51" s="41" t="str">
        <f>IF(AND(CL51="*",CP52="*"),1,"")</f>
        <v/>
      </c>
      <c r="CS51" s="41" t="str">
        <f>IF(AND(CP52="*", OR(CM51="*", CN51="*",CO51="*")),1,"")</f>
        <v/>
      </c>
      <c r="CT51" s="41" t="str">
        <f>IF(AND(CL52="*",OR(CM51="*",CN51="*",CO51="*",CP51="*")),1,IF(AND(CP51="*",OR(CL52="*",CM52="*",CN52="*",CO52="*")),1,""))</f>
        <v/>
      </c>
      <c r="CU51" s="41" t="str">
        <f>IF(AND(CM51="*",OR(CM52="*",CN52="*",CO52="*")),1,IF(AND(CN51="*",OR(CM52="*",CN52="*",CO52="*")),1,IF(AND(CO51="*",OR(CM52="*",CN52="*",CO52="*")),1,"")))</f>
        <v/>
      </c>
      <c r="CV51" s="41" t="str">
        <f>IF(AND(CL51="*",CL52="*"),1,"")</f>
        <v/>
      </c>
      <c r="CX51" s="41"/>
      <c r="CY51" s="41"/>
      <c r="CZ51" s="41"/>
      <c r="DA51" s="41"/>
      <c r="DB51" s="41"/>
      <c r="DC51" s="41" t="str">
        <f>IF(AND(CX51="*",OR(CY52="*",CZ52="*",DA52="*")), 1,"")</f>
        <v/>
      </c>
      <c r="DD51" s="41" t="str">
        <f>IF(AND(CX51="*",DB52="*"),1,"")</f>
        <v/>
      </c>
      <c r="DE51" s="41" t="str">
        <f>IF(AND(DB52="*", OR(CY51="*", CZ51="*",DA51="*")),1,"")</f>
        <v/>
      </c>
      <c r="DF51" s="41" t="str">
        <f>IF(AND(CX52="*",OR(CY51="*",CZ51="*",DA51="*",DB51="*")),1,IF(AND(DB51="*",OR(CX52="*",CY52="*",CZ52="*",DA52="*")),1,""))</f>
        <v/>
      </c>
      <c r="DG51" s="41" t="str">
        <f>IF(AND(CY51="*",OR(CY52="*",CZ52="*",DA52="*")),1,IF(AND(CZ51="*",OR(CY52="*",CZ52="*",DA52="*")),1,IF(AND(DA51="*",OR(CY52="*",CZ52="*",DA52="*")),1,"")))</f>
        <v/>
      </c>
      <c r="DH51" s="41" t="str">
        <f>IF(AND(CX51="*",CX52="*"),1,"")</f>
        <v/>
      </c>
      <c r="DJ51" s="41"/>
      <c r="DK51" s="41"/>
      <c r="DL51" s="41"/>
      <c r="DM51" s="41"/>
      <c r="DN51" s="41"/>
      <c r="DO51" s="41" t="str">
        <f>IF(AND(DJ51="*",OR(DK52="*",DL52="*",DM52="*")), 1,"")</f>
        <v/>
      </c>
      <c r="DP51" s="41" t="str">
        <f>IF(AND(DJ51="*",DN52="*"),1,"")</f>
        <v/>
      </c>
      <c r="DQ51" s="41" t="str">
        <f>IF(AND(DN52="*", OR(DK51="*", DL51="*",DM51="*")),1,"")</f>
        <v/>
      </c>
      <c r="DR51" s="41" t="str">
        <f>IF(AND(DJ52="*",OR(DK51="*",DL51="*",DM51="*",DN51="*")),1,IF(AND(DN51="*",OR(DJ52="*",DK52="*",DL52="*",DM52="*")),1,""))</f>
        <v/>
      </c>
      <c r="DS51" s="41" t="str">
        <f>IF(AND(DK51="*",OR(DK52="*",DL52="*",DM52="*")),1,IF(AND(DL51="*",OR(DK52="*",DL52="*",DM52="*")),1,IF(AND(DM51="*",OR(DK52="*",DL52="*",DM52="*")),1,"")))</f>
        <v/>
      </c>
      <c r="DT51" s="41" t="str">
        <f>IF(AND(DJ51="*",DJ52="*"),1,"")</f>
        <v/>
      </c>
      <c r="DV51" s="41"/>
      <c r="DW51" s="41"/>
      <c r="DX51" s="41"/>
      <c r="DY51" s="41"/>
      <c r="DZ51" s="41"/>
      <c r="EA51" s="41" t="str">
        <f>IF(AND(DV51="*",OR(DW52="*",DX52="*",DY52="*")), 1,"")</f>
        <v/>
      </c>
      <c r="EB51" s="41" t="str">
        <f>IF(AND(DV51="*",DZ52="*"),1,"")</f>
        <v/>
      </c>
      <c r="EC51" s="41" t="str">
        <f>IF(AND(DZ52="*", OR(DW51="*", DX51="*",DY51="*")),1,"")</f>
        <v/>
      </c>
      <c r="ED51" s="41" t="str">
        <f>IF(AND(DV52="*",OR(DW51="*",DX51="*",DY51="*",DZ51="*")),1,IF(AND(DZ51="*",OR(DV52="*",DW52="*",DX52="*",DY52="*")),1,""))</f>
        <v/>
      </c>
      <c r="EE51" s="41" t="str">
        <f>IF(AND(DW51="*",OR(DW52="*",DX52="*",DY52="*")),1,IF(AND(DX51="*",OR(DW52="*",DX52="*",DY52="*")),1,IF(AND(DY51="*",OR(DW52="*",DX52="*",DY52="*")),1,"")))</f>
        <v/>
      </c>
      <c r="EF51" s="41" t="str">
        <f>IF(AND(DV51="*",DV52="*"),1,"")</f>
        <v/>
      </c>
      <c r="EH51" s="41"/>
      <c r="EI51" s="41"/>
      <c r="EJ51" s="41"/>
      <c r="EK51" s="41"/>
      <c r="EL51" s="41"/>
      <c r="EM51" s="41" t="str">
        <f>IF(AND(EH51="*",OR(EI52="*",EJ52="*",EK52="*")), 1,"")</f>
        <v/>
      </c>
      <c r="EN51" s="41" t="str">
        <f>IF(AND(EH51="*",EL52="*"),1,"")</f>
        <v/>
      </c>
      <c r="EO51" s="41" t="str">
        <f>IF(AND(EL52="*", OR(EI51="*", EJ51="*",EK51="*")),1,"")</f>
        <v/>
      </c>
      <c r="EP51" s="41" t="str">
        <f>IF(AND(EH52="*",OR(EI51="*",EJ51="*",EK51="*",EL51="*")),1,IF(AND(EL51="*",OR(EH52="*",EI52="*",EJ52="*",EK52="*")),1,""))</f>
        <v/>
      </c>
      <c r="EQ51" s="41" t="str">
        <f>IF(AND(EI51="*",OR(EI52="*",EJ52="*",EK52="*")),1,IF(AND(EJ51="*",OR(EI52="*",EJ52="*",EK52="*")),1,IF(AND(EK51="*",OR(EI52="*",EJ52="*",EK52="*")),1,"")))</f>
        <v/>
      </c>
      <c r="ER51" s="41" t="str">
        <f>IF(AND(EH51="*",EH52="*"),1,"")</f>
        <v/>
      </c>
      <c r="ET51" s="41"/>
      <c r="EU51" s="41"/>
      <c r="EV51" s="41"/>
      <c r="EW51" s="41"/>
      <c r="EX51" s="41"/>
      <c r="EY51" s="41" t="str">
        <f>IF(AND(ET51="*",OR(EU52="*",EV52="*",EW52="*")), 1,"")</f>
        <v/>
      </c>
      <c r="EZ51" s="41" t="str">
        <f>IF(AND(ET51="*",EX52="*"),1,"")</f>
        <v/>
      </c>
      <c r="FA51" s="41" t="str">
        <f>IF(AND(EX52="*", OR(EU51="*", EV51="*",EW51="*")),1,"")</f>
        <v/>
      </c>
      <c r="FB51" s="41" t="str">
        <f>IF(AND(ET52="*",OR(EU51="*",EV51="*",EW51="*",EX51="*")),1,IF(AND(EX51="*",OR(ET52="*",EU52="*",EV52="*",EW52="*")),1,""))</f>
        <v/>
      </c>
      <c r="FC51" s="41" t="str">
        <f>IF(AND(EU51="*",OR(EU52="*",EV52="*",EW52="*")),1,IF(AND(EV51="*",OR(EU52="*",EV52="*",EW52="*")),1,IF(AND(EW51="*",OR(EU52="*",EV52="*",EW52="*")),1,"")))</f>
        <v/>
      </c>
      <c r="FD51" s="41" t="str">
        <f>IF(AND(ET51="*",ET52="*"),1,"")</f>
        <v/>
      </c>
      <c r="FF51" s="41"/>
      <c r="FG51" s="41"/>
      <c r="FH51" s="41"/>
      <c r="FI51" s="41"/>
      <c r="FJ51" s="41"/>
      <c r="FK51" s="41" t="str">
        <f>IF(AND(FF51="*",OR(FG52="*",FH52="*",FI52="*")), 1,"")</f>
        <v/>
      </c>
      <c r="FL51" s="41" t="str">
        <f>IF(AND(FF51="*",FJ52="*"),1,"")</f>
        <v/>
      </c>
      <c r="FM51" s="41" t="str">
        <f>IF(AND(FJ52="*", OR(FG51="*", FH51="*",FI51="*")),1,"")</f>
        <v/>
      </c>
      <c r="FN51" s="41" t="str">
        <f>IF(AND(FF52="*",OR(FG51="*",FH51="*",FI51="*",FJ51="*")),1,IF(AND(FJ51="*",OR(FF52="*",FG52="*",FH52="*",FI52="*")),1,""))</f>
        <v/>
      </c>
      <c r="FO51" s="41" t="str">
        <f>IF(AND(FG51="*",OR(FG52="*",FH52="*",FI52="*")),1,IF(AND(FH51="*",OR(FG52="*",FH52="*",FI52="*")),1,IF(AND(FI51="*",OR(FG52="*",FH52="*",FI52="*")),1,"")))</f>
        <v/>
      </c>
      <c r="FP51" s="41" t="str">
        <f>IF(AND(FF51="*",FF52="*"),1,"")</f>
        <v/>
      </c>
      <c r="FR51" s="41"/>
      <c r="FS51" s="41"/>
      <c r="FT51" s="41"/>
      <c r="FU51" s="41"/>
      <c r="FV51" s="41"/>
      <c r="FW51" s="41" t="str">
        <f>IF(AND(FR51="*",OR(FS52="*",FT52="*",FU52="*")), 1,"")</f>
        <v/>
      </c>
      <c r="FX51" s="41" t="str">
        <f>IF(AND(FR51="*",FV52="*"),1,"")</f>
        <v/>
      </c>
      <c r="FY51" s="41" t="str">
        <f>IF(AND(FV52="*", OR(FS51="*", FT51="*",FU51="*")),1,"")</f>
        <v/>
      </c>
      <c r="FZ51" s="41" t="str">
        <f>IF(AND(FR52="*",OR(FS51="*",FT51="*",FU51="*",FV51="*")),1,IF(AND(FV51="*",OR(FR52="*",FS52="*",FT52="*",FU52="*")),1,""))</f>
        <v/>
      </c>
      <c r="GA51" s="41" t="str">
        <f>IF(AND(FS51="*",OR(FS52="*",FT52="*",FU52="*")),1,IF(AND(FT51="*",OR(FS52="*",FT52="*",FU52="*")),1,IF(AND(FU51="*",OR(FS52="*",FT52="*",FU52="*")),1,"")))</f>
        <v/>
      </c>
      <c r="GB51" s="41" t="str">
        <f>IF(AND(FR51="*",FR52="*"),1,"")</f>
        <v/>
      </c>
      <c r="GD51" s="41"/>
      <c r="GE51" s="41"/>
      <c r="GF51" s="41"/>
      <c r="GG51" s="41"/>
      <c r="GH51" s="41"/>
      <c r="GI51" s="41"/>
      <c r="GJ51" s="41" t="str">
        <f>IF(AND(GD51="*",OR(GE52="*",GF52="*",GG52="*")), 1,"")</f>
        <v/>
      </c>
      <c r="GK51" s="41" t="str">
        <f>IF(AND(GD51="*",GH52="*"),1,"")</f>
        <v/>
      </c>
      <c r="GL51" s="41" t="str">
        <f>IF(AND(GH52="*", OR(GE51="*", GF51="*",GG51="*")),1,"")</f>
        <v/>
      </c>
      <c r="GM51" s="41" t="str">
        <f>IF(AND(GD52="*",OR(GE51="*",GF51="*",GG51="*",GH51="*")),1,IF(AND(GH51="*",OR(GD52="*",GE52="*",GF52="*",GG52="*")),1,""))</f>
        <v/>
      </c>
      <c r="GN51" s="41" t="str">
        <f>IF(AND(GE51="*",OR(GE52="*",GF52="*",GG52="*")),1,IF(AND(GF51="*",OR(GE52="*",GF52="*",GG52="*")),1,IF(AND(GG51="*",OR(GE52="*",GF52="*",GG52="*")),1,"")))</f>
        <v/>
      </c>
      <c r="GO51" s="41" t="str">
        <f>IF(AND(GD51="*",GD52="*"),1,"")</f>
        <v/>
      </c>
      <c r="GQ51" s="41"/>
      <c r="GR51" s="41"/>
      <c r="GS51" s="41"/>
      <c r="GT51" s="41"/>
      <c r="GU51" s="41"/>
      <c r="GV51" s="41" t="str">
        <f>IF(AND(GQ51="*",OR(GR52="*",GS52="*",GT52="*")), 1,"")</f>
        <v/>
      </c>
      <c r="GW51" s="41" t="str">
        <f>IF(AND(GQ51="*",GU52="*"),1,"")</f>
        <v/>
      </c>
      <c r="GX51" s="41" t="str">
        <f>IF(AND(GU52="*", OR(GR51="*", GS51="*",GT51="*")),1,"")</f>
        <v/>
      </c>
      <c r="GY51" s="41" t="str">
        <f>IF(AND(GQ52="*",OR(GR51="*",GS51="*",GT51="*",GU51="*")),1,IF(AND(GU51="*",OR(GQ52="*",GR52="*",GS52="*",GT52="*")),1,""))</f>
        <v/>
      </c>
      <c r="GZ51" s="41" t="str">
        <f>IF(AND(GR51="*",OR(GR52="*",GS52="*",GT52="*")),1,IF(AND(GS51="*",OR(GR52="*",GS52="*",GT52="*")),1,IF(AND(GT51="*",OR(GR52="*",GS52="*",GT52="*")),1,"")))</f>
        <v/>
      </c>
      <c r="HA51" s="41" t="str">
        <f>IF(AND(GQ51="*",GQ52="*"),1,"")</f>
        <v/>
      </c>
      <c r="HC51" s="41"/>
      <c r="HD51" s="41"/>
      <c r="HE51" s="41"/>
      <c r="HF51" s="41"/>
      <c r="HG51" s="41"/>
      <c r="HH51" s="41" t="str">
        <f>IF(AND(HC51="*",OR(HD52="*",HE52="*",HF52="*")), 1,"")</f>
        <v/>
      </c>
      <c r="HI51" s="41" t="str">
        <f>IF(AND(HC51="*",HG52="*"),1,"")</f>
        <v/>
      </c>
      <c r="HJ51" s="41" t="str">
        <f>IF(AND(HG52="*", OR(HD51="*", HE51="*",HF51="*")),1,"")</f>
        <v/>
      </c>
      <c r="HK51" s="41" t="str">
        <f>IF(AND(HC52="*",OR(HD51="*",HE51="*",HF51="*",HG51="*")),1,IF(AND(HG51="*",OR(HC52="*",HD52="*",HE52="*",HF52="*")),1,""))</f>
        <v/>
      </c>
      <c r="HL51" s="41" t="str">
        <f>IF(AND(HD51="*",OR(HD52="*",HE52="*",HF52="*")),1,IF(AND(HE51="*",OR(HD52="*",HE52="*",HF52="*")),1,IF(AND(HF51="*",OR(HD52="*",HE52="*",HF52="*")),1,"")))</f>
        <v/>
      </c>
      <c r="HM51" s="41" t="str">
        <f>IF(AND(HC51="*",HC52="*"),1,"")</f>
        <v/>
      </c>
      <c r="HO51" s="41"/>
      <c r="HP51" s="41"/>
      <c r="HQ51" s="41"/>
      <c r="HR51" s="41"/>
      <c r="HS51" s="41"/>
      <c r="HT51" s="41" t="str">
        <f>IF(AND(HO51="*",OR(HP52="*",HQ52="*",HR52="*")), 1,"")</f>
        <v/>
      </c>
      <c r="HU51" s="41" t="str">
        <f>IF(AND(HO51="*",HS52="*"),1,"")</f>
        <v/>
      </c>
      <c r="HV51" s="41" t="str">
        <f>IF(AND(HS52="*", OR(HP51="*", HQ51="*",HR51="*")),1,"")</f>
        <v/>
      </c>
      <c r="HW51" s="41" t="str">
        <f>IF(AND(HO52="*",OR(HP51="*",HQ51="*",HR51="*",HS51="*")),1,IF(AND(HS51="*",OR(HO52="*",HP52="*",HQ52="*",HR52="*")),1,""))</f>
        <v/>
      </c>
      <c r="HX51" s="41" t="str">
        <f>IF(AND(HP51="*",OR(HP52="*",HQ52="*",HR52="*")),1,IF(AND(HQ51="*",OR(HP52="*",HQ52="*",HR52="*")),1,IF(AND(HR51="*",OR(HP52="*",HQ52="*",HR52="*")),1,"")))</f>
        <v/>
      </c>
      <c r="HY51" s="41" t="str">
        <f>IF(AND(HO51="*",HO52="*"),1,"")</f>
        <v/>
      </c>
      <c r="IA51" s="41"/>
      <c r="IB51" s="41"/>
      <c r="IC51" s="41"/>
      <c r="ID51" s="41"/>
      <c r="IE51" s="41"/>
      <c r="IF51" s="41" t="str">
        <f>IF(AND(IA51="*",OR(IB52="*",IC52="*",ID52="*")), 1,"")</f>
        <v/>
      </c>
      <c r="IG51" s="41" t="str">
        <f>IF(AND(IA51="*",IE52="*"),1,"")</f>
        <v/>
      </c>
      <c r="IH51" s="41" t="str">
        <f>IF(AND(IE52="*", OR(IB51="*", IC51="*",ID51="*")),1,"")</f>
        <v/>
      </c>
      <c r="II51" s="41" t="str">
        <f>IF(AND(IA52="*",OR(IB51="*",IC51="*",ID51="*",IE51="*")),1,IF(AND(IE51="*",OR(IA52="*",IB52="*",IC52="*",ID52="*")),1,""))</f>
        <v/>
      </c>
      <c r="IJ51" s="41" t="str">
        <f>IF(AND(IB51="*",OR(IB52="*",IC52="*",ID52="*")),1,IF(AND(IC51="*",OR(IB52="*",IC52="*",ID52="*")),1,IF(AND(ID51="*",OR(IB52="*",IC52="*",ID52="*")),1,"")))</f>
        <v/>
      </c>
      <c r="IK51" s="41" t="str">
        <f>IF(AND(IA51="*",IA52="*"),1,"")</f>
        <v/>
      </c>
      <c r="IL51" s="41">
        <f>COUNT(J51,V51,AH51,AT51,BF51,BS51,CE51,CQ51,DC51,DO51,EA51,EM51,EY51,FK51,FW51,GJ51,GV51,HH51,HT51,IF51)</f>
        <v>0</v>
      </c>
      <c r="IM51" s="41">
        <f t="shared" ref="IM51:IQ51" si="24">COUNT(K51,W51,AI51,AU51,BG51,BT51,CF51,CR51,DD51,DP51,EB51,EN51,EZ51,FL51,FX51,GK51,GW51,HI51,HU51,IG51)</f>
        <v>0</v>
      </c>
      <c r="IN51" s="41">
        <f t="shared" si="24"/>
        <v>0</v>
      </c>
      <c r="IO51" s="41">
        <f t="shared" si="24"/>
        <v>0</v>
      </c>
      <c r="IP51" s="41">
        <f t="shared" si="24"/>
        <v>0</v>
      </c>
      <c r="IQ51" s="41">
        <f t="shared" si="24"/>
        <v>0</v>
      </c>
    </row>
    <row r="52" spans="2:251" ht="15" customHeight="1" x14ac:dyDescent="0.4">
      <c r="B52" s="277"/>
      <c r="C52" s="279"/>
      <c r="D52" s="42" t="s">
        <v>76</v>
      </c>
      <c r="E52" s="41"/>
      <c r="F52" s="41"/>
      <c r="G52" s="41"/>
      <c r="H52" s="41"/>
      <c r="I52" s="41"/>
      <c r="J52" s="43"/>
      <c r="K52" s="43"/>
      <c r="L52" s="43"/>
      <c r="M52" s="43"/>
      <c r="N52" s="43"/>
      <c r="O52" s="43"/>
      <c r="Q52" s="41"/>
      <c r="R52" s="41"/>
      <c r="S52" s="41"/>
      <c r="T52" s="41"/>
      <c r="U52" s="41"/>
      <c r="V52" s="43"/>
      <c r="W52" s="43"/>
      <c r="X52" s="43"/>
      <c r="Y52" s="43"/>
      <c r="Z52" s="43"/>
      <c r="AA52" s="43"/>
      <c r="AC52" s="41"/>
      <c r="AD52" s="41"/>
      <c r="AE52" s="41"/>
      <c r="AF52" s="41"/>
      <c r="AG52" s="41"/>
      <c r="AH52" s="43"/>
      <c r="AI52" s="43"/>
      <c r="AJ52" s="43"/>
      <c r="AK52" s="43"/>
      <c r="AL52" s="43"/>
      <c r="AM52" s="43"/>
      <c r="AO52" s="41"/>
      <c r="AP52" s="41"/>
      <c r="AQ52" s="41"/>
      <c r="AR52" s="41"/>
      <c r="AS52" s="41"/>
      <c r="AT52" s="43"/>
      <c r="AU52" s="43"/>
      <c r="AV52" s="43"/>
      <c r="AW52" s="43"/>
      <c r="AX52" s="43"/>
      <c r="AY52" s="43"/>
      <c r="BA52" s="41"/>
      <c r="BB52" s="41"/>
      <c r="BC52" s="41"/>
      <c r="BD52" s="41"/>
      <c r="BE52" s="41"/>
      <c r="BF52" s="43"/>
      <c r="BG52" s="43"/>
      <c r="BH52" s="43"/>
      <c r="BI52" s="43"/>
      <c r="BJ52" s="43"/>
      <c r="BK52" s="43"/>
      <c r="BM52" s="41"/>
      <c r="BN52" s="41"/>
      <c r="BO52" s="41"/>
      <c r="BP52" s="41"/>
      <c r="BQ52" s="41"/>
      <c r="BR52" s="41"/>
      <c r="BS52" s="43"/>
      <c r="BT52" s="43"/>
      <c r="BU52" s="43"/>
      <c r="BV52" s="43"/>
      <c r="BW52" s="43"/>
      <c r="BX52" s="43"/>
      <c r="BZ52" s="41"/>
      <c r="CA52" s="41"/>
      <c r="CB52" s="41"/>
      <c r="CC52" s="41"/>
      <c r="CD52" s="41"/>
      <c r="CE52" s="43"/>
      <c r="CF52" s="43"/>
      <c r="CG52" s="43"/>
      <c r="CH52" s="43"/>
      <c r="CI52" s="43"/>
      <c r="CJ52" s="43"/>
      <c r="CL52" s="41"/>
      <c r="CM52" s="41"/>
      <c r="CN52" s="41"/>
      <c r="CO52" s="41"/>
      <c r="CP52" s="41"/>
      <c r="CQ52" s="43"/>
      <c r="CR52" s="43"/>
      <c r="CS52" s="43"/>
      <c r="CT52" s="43"/>
      <c r="CU52" s="43"/>
      <c r="CV52" s="43"/>
      <c r="CX52" s="41"/>
      <c r="CY52" s="41"/>
      <c r="CZ52" s="41"/>
      <c r="DA52" s="41"/>
      <c r="DB52" s="41"/>
      <c r="DC52" s="43"/>
      <c r="DD52" s="43"/>
      <c r="DE52" s="43"/>
      <c r="DF52" s="43"/>
      <c r="DG52" s="43"/>
      <c r="DH52" s="43"/>
      <c r="DJ52" s="41"/>
      <c r="DK52" s="41"/>
      <c r="DL52" s="41"/>
      <c r="DM52" s="41"/>
      <c r="DN52" s="41"/>
      <c r="DO52" s="43"/>
      <c r="DP52" s="43"/>
      <c r="DQ52" s="43"/>
      <c r="DR52" s="43"/>
      <c r="DS52" s="43"/>
      <c r="DT52" s="43"/>
      <c r="DV52" s="41"/>
      <c r="DW52" s="41"/>
      <c r="DX52" s="41"/>
      <c r="DY52" s="41"/>
      <c r="DZ52" s="41"/>
      <c r="EA52" s="43"/>
      <c r="EB52" s="43"/>
      <c r="EC52" s="43"/>
      <c r="ED52" s="43"/>
      <c r="EE52" s="43"/>
      <c r="EF52" s="43"/>
      <c r="EH52" s="41"/>
      <c r="EI52" s="41"/>
      <c r="EJ52" s="41"/>
      <c r="EK52" s="41"/>
      <c r="EL52" s="41"/>
      <c r="EM52" s="43"/>
      <c r="EN52" s="43"/>
      <c r="EO52" s="43"/>
      <c r="EP52" s="43"/>
      <c r="EQ52" s="43"/>
      <c r="ER52" s="43"/>
      <c r="ET52" s="41"/>
      <c r="EU52" s="41"/>
      <c r="EV52" s="41"/>
      <c r="EW52" s="41"/>
      <c r="EX52" s="41"/>
      <c r="EY52" s="43"/>
      <c r="EZ52" s="43"/>
      <c r="FA52" s="43"/>
      <c r="FB52" s="43"/>
      <c r="FC52" s="43"/>
      <c r="FD52" s="43"/>
      <c r="FF52" s="41"/>
      <c r="FG52" s="41"/>
      <c r="FH52" s="41"/>
      <c r="FI52" s="41"/>
      <c r="FJ52" s="41"/>
      <c r="FK52" s="43"/>
      <c r="FL52" s="43"/>
      <c r="FM52" s="43"/>
      <c r="FN52" s="43"/>
      <c r="FO52" s="43"/>
      <c r="FP52" s="43"/>
      <c r="FR52" s="41"/>
      <c r="FS52" s="41"/>
      <c r="FT52" s="41"/>
      <c r="FU52" s="41"/>
      <c r="FV52" s="41"/>
      <c r="FW52" s="43"/>
      <c r="FX52" s="43"/>
      <c r="FY52" s="43"/>
      <c r="FZ52" s="43"/>
      <c r="GA52" s="43"/>
      <c r="GB52" s="43"/>
      <c r="GD52" s="41"/>
      <c r="GE52" s="41"/>
      <c r="GF52" s="41"/>
      <c r="GG52" s="41"/>
      <c r="GH52" s="41"/>
      <c r="GI52" s="41"/>
      <c r="GJ52" s="43"/>
      <c r="GK52" s="43"/>
      <c r="GL52" s="43"/>
      <c r="GM52" s="43"/>
      <c r="GN52" s="43"/>
      <c r="GO52" s="43"/>
      <c r="GQ52" s="41"/>
      <c r="GR52" s="41"/>
      <c r="GS52" s="41"/>
      <c r="GT52" s="41"/>
      <c r="GU52" s="41"/>
      <c r="GV52" s="43"/>
      <c r="GW52" s="43"/>
      <c r="GX52" s="43"/>
      <c r="GY52" s="43"/>
      <c r="GZ52" s="43"/>
      <c r="HA52" s="43"/>
      <c r="HC52" s="41"/>
      <c r="HD52" s="41"/>
      <c r="HE52" s="41"/>
      <c r="HF52" s="41"/>
      <c r="HG52" s="41"/>
      <c r="HH52" s="43"/>
      <c r="HI52" s="43"/>
      <c r="HJ52" s="43"/>
      <c r="HK52" s="43"/>
      <c r="HL52" s="43"/>
      <c r="HM52" s="43"/>
      <c r="HO52" s="41"/>
      <c r="HP52" s="41"/>
      <c r="HQ52" s="41"/>
      <c r="HR52" s="41"/>
      <c r="HS52" s="41"/>
      <c r="HT52" s="43"/>
      <c r="HU52" s="43"/>
      <c r="HV52" s="43"/>
      <c r="HW52" s="43"/>
      <c r="HX52" s="43"/>
      <c r="HY52" s="43"/>
      <c r="IA52" s="41"/>
      <c r="IB52" s="41"/>
      <c r="IC52" s="41"/>
      <c r="ID52" s="41"/>
      <c r="IE52" s="41"/>
      <c r="IF52" s="43"/>
      <c r="IG52" s="43"/>
      <c r="IH52" s="43"/>
      <c r="II52" s="43"/>
      <c r="IJ52" s="43"/>
      <c r="IK52" s="43"/>
    </row>
    <row r="53" spans="2:251" ht="15" customHeight="1" x14ac:dyDescent="0.4">
      <c r="B53" s="273">
        <v>26</v>
      </c>
      <c r="C53" s="274">
        <f>고객요구사항도출표!C30</f>
        <v>0</v>
      </c>
      <c r="D53" s="40" t="s">
        <v>55</v>
      </c>
      <c r="E53" s="44"/>
      <c r="F53" s="44"/>
      <c r="G53" s="44"/>
      <c r="H53" s="44"/>
      <c r="I53" s="44"/>
      <c r="J53" s="44" t="str">
        <f>IF(AND(E53="*",OR(F54="*",G54="*",H54="*")), 1,"")</f>
        <v/>
      </c>
      <c r="K53" s="44" t="str">
        <f>IF(AND(E53="*",I54="*"),1,"")</f>
        <v/>
      </c>
      <c r="L53" s="44" t="str">
        <f>IF(AND(I54="*", OR(F53="*", G53="*",H53="*")),1,"")</f>
        <v/>
      </c>
      <c r="M53" s="44" t="str">
        <f>IF(AND(E54="*",OR(F53="*",G53="*",H53="*",I53="*")),1,IF(AND(I53="*",OR(E54="*",F54="*",G54="*",H54="*")),1,""))</f>
        <v/>
      </c>
      <c r="N53" s="44" t="str">
        <f>IF(AND(F53="*",OR(F54="*",G54="*",H54="*")),1,IF(AND(G53="*",OR(F54="*",G54="*",H54="*")),1,IF(AND(H53="*",OR(F54="*",G54="*",H54="*")),1,"")))</f>
        <v/>
      </c>
      <c r="O53" s="44" t="str">
        <f>IF(AND(E53="*",E54="*"),1,"")</f>
        <v/>
      </c>
      <c r="Q53" s="44"/>
      <c r="R53" s="44"/>
      <c r="S53" s="44"/>
      <c r="T53" s="44"/>
      <c r="U53" s="44"/>
      <c r="V53" s="44" t="str">
        <f>IF(AND(Q53="*",OR(R54="*",S54="*",T54="*")), 1,"")</f>
        <v/>
      </c>
      <c r="W53" s="44" t="str">
        <f>IF(AND(Q53="*",U54="*"),1,"")</f>
        <v/>
      </c>
      <c r="X53" s="44" t="str">
        <f>IF(AND(U54="*", OR(R53="*", S53="*",T53="*")),1,"")</f>
        <v/>
      </c>
      <c r="Y53" s="44" t="str">
        <f>IF(AND(Q54="*",OR(R53="*",S53="*",T53="*",U53="*")),1,IF(AND(U53="*",OR(Q54="*",R54="*",S54="*",T54="*")),1,""))</f>
        <v/>
      </c>
      <c r="Z53" s="44" t="str">
        <f>IF(AND(R53="*",OR(R54="*",S54="*",T54="*")),1,IF(AND(S53="*",OR(R54="*",S54="*",T54="*")),1,IF(AND(T53="*",OR(R54="*",S54="*",T54="*")),1,"")))</f>
        <v/>
      </c>
      <c r="AA53" s="44" t="str">
        <f>IF(AND(Q53="*",Q54="*"),1,"")</f>
        <v/>
      </c>
      <c r="AC53" s="44"/>
      <c r="AD53" s="44"/>
      <c r="AE53" s="44"/>
      <c r="AF53" s="44"/>
      <c r="AG53" s="44"/>
      <c r="AH53" s="44" t="str">
        <f>IF(AND(AC53="*",OR(AD54="*",AE54="*",AF54="*")), 1,"")</f>
        <v/>
      </c>
      <c r="AI53" s="44" t="str">
        <f>IF(AND(AC53="*",AG54="*"),1,"")</f>
        <v/>
      </c>
      <c r="AJ53" s="44" t="str">
        <f>IF(AND(AG54="*", OR(AD53="*", AE53="*",AF53="*")),1,"")</f>
        <v/>
      </c>
      <c r="AK53" s="44" t="str">
        <f>IF(AND(AC54="*",OR(AD53="*",AE53="*",AF53="*",AG53="*")),1,IF(AND(AG53="*",OR(AC54="*",AD54="*",AE54="*",AF54="*")),1,""))</f>
        <v/>
      </c>
      <c r="AL53" s="44" t="str">
        <f>IF(AND(AD53="*",OR(AD54="*",AE54="*",AF54="*")),1,IF(AND(AE53="*",OR(AD54="*",AE54="*",AF54="*")),1,IF(AND(AF53="*",OR(AD54="*",AE54="*",AF54="*")),1,"")))</f>
        <v/>
      </c>
      <c r="AM53" s="44" t="str">
        <f>IF(AND(AC53="*",AC54="*"),1,"")</f>
        <v/>
      </c>
      <c r="AO53" s="44"/>
      <c r="AP53" s="44"/>
      <c r="AQ53" s="44"/>
      <c r="AR53" s="44"/>
      <c r="AS53" s="44"/>
      <c r="AT53" s="44" t="str">
        <f>IF(AND(AO53="*",OR(AP54="*",AQ54="*",AR54="*")), 1,"")</f>
        <v/>
      </c>
      <c r="AU53" s="44" t="str">
        <f>IF(AND(AO53="*",AS54="*"),1,"")</f>
        <v/>
      </c>
      <c r="AV53" s="44" t="str">
        <f>IF(AND(AS54="*", OR(AP53="*", AQ53="*",AR53="*")),1,"")</f>
        <v/>
      </c>
      <c r="AW53" s="44" t="str">
        <f>IF(AND(AO54="*",OR(AP53="*",AQ53="*",AR53="*",AS53="*")),1,IF(AND(AS53="*",OR(AO54="*",AP54="*",AQ54="*",AR54="*")),1,""))</f>
        <v/>
      </c>
      <c r="AX53" s="44" t="str">
        <f>IF(AND(AP53="*",OR(AP54="*",AQ54="*",AR54="*")),1,IF(AND(AQ53="*",OR(AP54="*",AQ54="*",AR54="*")),1,IF(AND(AR53="*",OR(AP54="*",AQ54="*",AR54="*")),1,"")))</f>
        <v/>
      </c>
      <c r="AY53" s="44" t="str">
        <f>IF(AND(AO53="*",AO54="*"),1,"")</f>
        <v/>
      </c>
      <c r="BA53" s="44"/>
      <c r="BB53" s="44"/>
      <c r="BC53" s="44"/>
      <c r="BD53" s="44"/>
      <c r="BE53" s="44"/>
      <c r="BF53" s="44" t="str">
        <f>IF(AND(BA53="*",OR(BB54="*",BC54="*",BD54="*")), 1,"")</f>
        <v/>
      </c>
      <c r="BG53" s="44" t="str">
        <f>IF(AND(BA53="*",BE54="*"),1,"")</f>
        <v/>
      </c>
      <c r="BH53" s="44" t="str">
        <f>IF(AND(BE54="*", OR(BB53="*", BC53="*",BD53="*")),1,"")</f>
        <v/>
      </c>
      <c r="BI53" s="44" t="str">
        <f>IF(AND(BA54="*",OR(BB53="*",BC53="*",BD53="*",BE53="*")),1,IF(AND(BE53="*",OR(BA54="*",BB54="*",BC54="*",BD54="*")),1,""))</f>
        <v/>
      </c>
      <c r="BJ53" s="44" t="str">
        <f>IF(AND(BB53="*",OR(BB54="*",BC54="*",BD54="*")),1,IF(AND(BC53="*",OR(BB54="*",BC54="*",BD54="*")),1,IF(AND(BD53="*",OR(BB54="*",BC54="*",BD54="*")),1,"")))</f>
        <v/>
      </c>
      <c r="BK53" s="44" t="str">
        <f>IF(AND(BA53="*",BA54="*"),1,"")</f>
        <v/>
      </c>
      <c r="BM53" s="44"/>
      <c r="BN53" s="44"/>
      <c r="BO53" s="44"/>
      <c r="BP53" s="44"/>
      <c r="BQ53" s="44"/>
      <c r="BR53" s="44"/>
      <c r="BS53" s="44" t="str">
        <f>IF(AND(BM53="*",OR(BN54="*",BO54="*",BP54="*")), 1,"")</f>
        <v/>
      </c>
      <c r="BT53" s="44" t="str">
        <f>IF(AND(BM53="*",BQ54="*"),1,"")</f>
        <v/>
      </c>
      <c r="BU53" s="44" t="str">
        <f>IF(AND(BQ54="*", OR(BN53="*", BO53="*",BP53="*")),1,"")</f>
        <v/>
      </c>
      <c r="BV53" s="44" t="str">
        <f>IF(AND(BM54="*",OR(BN53="*",BO53="*",BP53="*",BQ53="*")),1,IF(AND(BQ53="*",OR(BM54="*",BN54="*",BO54="*",BP54="*")),1,""))</f>
        <v/>
      </c>
      <c r="BW53" s="44" t="str">
        <f>IF(AND(BN53="*",OR(BN54="*",BO54="*",BP54="*")),1,IF(AND(BO53="*",OR(BN54="*",BO54="*",BP54="*")),1,IF(AND(BP53="*",OR(BN54="*",BO54="*",BP54="*")),1,"")))</f>
        <v/>
      </c>
      <c r="BX53" s="44" t="str">
        <f>IF(AND(BM53="*",BM54="*"),1,"")</f>
        <v/>
      </c>
      <c r="BZ53" s="44"/>
      <c r="CA53" s="44"/>
      <c r="CB53" s="44"/>
      <c r="CC53" s="44"/>
      <c r="CD53" s="44"/>
      <c r="CE53" s="44" t="str">
        <f>IF(AND(BZ53="*",OR(CA54="*",CB54="*",CC54="*")), 1,"")</f>
        <v/>
      </c>
      <c r="CF53" s="44" t="str">
        <f>IF(AND(BZ53="*",CD54="*"),1,"")</f>
        <v/>
      </c>
      <c r="CG53" s="44" t="str">
        <f>IF(AND(CD54="*", OR(CA53="*", CB53="*",CC53="*")),1,"")</f>
        <v/>
      </c>
      <c r="CH53" s="44" t="str">
        <f>IF(AND(BZ54="*",OR(CA53="*",CB53="*",CC53="*",CD53="*")),1,IF(AND(CD53="*",OR(BZ54="*",CA54="*",CB54="*",CC54="*")),1,""))</f>
        <v/>
      </c>
      <c r="CI53" s="44" t="str">
        <f>IF(AND(CA53="*",OR(CA54="*",CB54="*",CC54="*")),1,IF(AND(CB53="*",OR(CA54="*",CB54="*",CC54="*")),1,IF(AND(CC53="*",OR(CA54="*",CB54="*",CC54="*")),1,"")))</f>
        <v/>
      </c>
      <c r="CJ53" s="44" t="str">
        <f>IF(AND(BZ53="*",BZ54="*"),1,"")</f>
        <v/>
      </c>
      <c r="CL53" s="44"/>
      <c r="CM53" s="44"/>
      <c r="CN53" s="44"/>
      <c r="CO53" s="44"/>
      <c r="CP53" s="44"/>
      <c r="CQ53" s="44" t="str">
        <f>IF(AND(CL53="*",OR(CM54="*",CN54="*",CO54="*")), 1,"")</f>
        <v/>
      </c>
      <c r="CR53" s="44" t="str">
        <f>IF(AND(CL53="*",CP54="*"),1,"")</f>
        <v/>
      </c>
      <c r="CS53" s="44" t="str">
        <f>IF(AND(CP54="*", OR(CM53="*", CN53="*",CO53="*")),1,"")</f>
        <v/>
      </c>
      <c r="CT53" s="44" t="str">
        <f>IF(AND(CL54="*",OR(CM53="*",CN53="*",CO53="*",CP53="*")),1,IF(AND(CP53="*",OR(CL54="*",CM54="*",CN54="*",CO54="*")),1,""))</f>
        <v/>
      </c>
      <c r="CU53" s="44" t="str">
        <f>IF(AND(CM53="*",OR(CM54="*",CN54="*",CO54="*")),1,IF(AND(CN53="*",OR(CM54="*",CN54="*",CO54="*")),1,IF(AND(CO53="*",OR(CM54="*",CN54="*",CO54="*")),1,"")))</f>
        <v/>
      </c>
      <c r="CV53" s="44" t="str">
        <f>IF(AND(CL53="*",CL54="*"),1,"")</f>
        <v/>
      </c>
      <c r="CX53" s="44"/>
      <c r="CY53" s="44"/>
      <c r="CZ53" s="44"/>
      <c r="DA53" s="44"/>
      <c r="DB53" s="44"/>
      <c r="DC53" s="44" t="str">
        <f>IF(AND(CX53="*",OR(CY54="*",CZ54="*",DA54="*")), 1,"")</f>
        <v/>
      </c>
      <c r="DD53" s="44" t="str">
        <f>IF(AND(CX53="*",DB54="*"),1,"")</f>
        <v/>
      </c>
      <c r="DE53" s="44" t="str">
        <f>IF(AND(DB54="*", OR(CY53="*", CZ53="*",DA53="*")),1,"")</f>
        <v/>
      </c>
      <c r="DF53" s="44" t="str">
        <f>IF(AND(CX54="*",OR(CY53="*",CZ53="*",DA53="*",DB53="*")),1,IF(AND(DB53="*",OR(CX54="*",CY54="*",CZ54="*",DA54="*")),1,""))</f>
        <v/>
      </c>
      <c r="DG53" s="44" t="str">
        <f>IF(AND(CY53="*",OR(CY54="*",CZ54="*",DA54="*")),1,IF(AND(CZ53="*",OR(CY54="*",CZ54="*",DA54="*")),1,IF(AND(DA53="*",OR(CY54="*",CZ54="*",DA54="*")),1,"")))</f>
        <v/>
      </c>
      <c r="DH53" s="44" t="str">
        <f>IF(AND(CX53="*",CX54="*"),1,"")</f>
        <v/>
      </c>
      <c r="DJ53" s="44"/>
      <c r="DK53" s="44"/>
      <c r="DL53" s="44"/>
      <c r="DM53" s="44"/>
      <c r="DN53" s="44"/>
      <c r="DO53" s="44" t="str">
        <f>IF(AND(DJ53="*",OR(DK54="*",DL54="*",DM54="*")), 1,"")</f>
        <v/>
      </c>
      <c r="DP53" s="44" t="str">
        <f>IF(AND(DJ53="*",DN54="*"),1,"")</f>
        <v/>
      </c>
      <c r="DQ53" s="44" t="str">
        <f>IF(AND(DN54="*", OR(DK53="*", DL53="*",DM53="*")),1,"")</f>
        <v/>
      </c>
      <c r="DR53" s="44" t="str">
        <f>IF(AND(DJ54="*",OR(DK53="*",DL53="*",DM53="*",DN53="*")),1,IF(AND(DN53="*",OR(DJ54="*",DK54="*",DL54="*",DM54="*")),1,""))</f>
        <v/>
      </c>
      <c r="DS53" s="44" t="str">
        <f>IF(AND(DK53="*",OR(DK54="*",DL54="*",DM54="*")),1,IF(AND(DL53="*",OR(DK54="*",DL54="*",DM54="*")),1,IF(AND(DM53="*",OR(DK54="*",DL54="*",DM54="*")),1,"")))</f>
        <v/>
      </c>
      <c r="DT53" s="44" t="str">
        <f>IF(AND(DJ53="*",DJ54="*"),1,"")</f>
        <v/>
      </c>
      <c r="DV53" s="44"/>
      <c r="DW53" s="44"/>
      <c r="DX53" s="44"/>
      <c r="DY53" s="44"/>
      <c r="DZ53" s="44"/>
      <c r="EA53" s="44" t="str">
        <f>IF(AND(DV53="*",OR(DW54="*",DX54="*",DY54="*")), 1,"")</f>
        <v/>
      </c>
      <c r="EB53" s="44" t="str">
        <f>IF(AND(DV53="*",DZ54="*"),1,"")</f>
        <v/>
      </c>
      <c r="EC53" s="44" t="str">
        <f>IF(AND(DZ54="*", OR(DW53="*", DX53="*",DY53="*")),1,"")</f>
        <v/>
      </c>
      <c r="ED53" s="44" t="str">
        <f>IF(AND(DV54="*",OR(DW53="*",DX53="*",DY53="*",DZ53="*")),1,IF(AND(DZ53="*",OR(DV54="*",DW54="*",DX54="*",DY54="*")),1,""))</f>
        <v/>
      </c>
      <c r="EE53" s="44" t="str">
        <f>IF(AND(DW53="*",OR(DW54="*",DX54="*",DY54="*")),1,IF(AND(DX53="*",OR(DW54="*",DX54="*",DY54="*")),1,IF(AND(DY53="*",OR(DW54="*",DX54="*",DY54="*")),1,"")))</f>
        <v/>
      </c>
      <c r="EF53" s="44" t="str">
        <f>IF(AND(DV53="*",DV54="*"),1,"")</f>
        <v/>
      </c>
      <c r="EH53" s="44"/>
      <c r="EI53" s="44"/>
      <c r="EJ53" s="44"/>
      <c r="EK53" s="44"/>
      <c r="EL53" s="44"/>
      <c r="EM53" s="44" t="str">
        <f>IF(AND(EH53="*",OR(EI54="*",EJ54="*",EK54="*")), 1,"")</f>
        <v/>
      </c>
      <c r="EN53" s="44" t="str">
        <f>IF(AND(EH53="*",EL54="*"),1,"")</f>
        <v/>
      </c>
      <c r="EO53" s="44" t="str">
        <f>IF(AND(EL54="*", OR(EI53="*", EJ53="*",EK53="*")),1,"")</f>
        <v/>
      </c>
      <c r="EP53" s="44" t="str">
        <f>IF(AND(EH54="*",OR(EI53="*",EJ53="*",EK53="*",EL53="*")),1,IF(AND(EL53="*",OR(EH54="*",EI54="*",EJ54="*",EK54="*")),1,""))</f>
        <v/>
      </c>
      <c r="EQ53" s="44" t="str">
        <f>IF(AND(EI53="*",OR(EI54="*",EJ54="*",EK54="*")),1,IF(AND(EJ53="*",OR(EI54="*",EJ54="*",EK54="*")),1,IF(AND(EK53="*",OR(EI54="*",EJ54="*",EK54="*")),1,"")))</f>
        <v/>
      </c>
      <c r="ER53" s="44" t="str">
        <f>IF(AND(EH53="*",EH54="*"),1,"")</f>
        <v/>
      </c>
      <c r="ET53" s="44"/>
      <c r="EU53" s="44"/>
      <c r="EV53" s="44"/>
      <c r="EW53" s="44"/>
      <c r="EX53" s="44"/>
      <c r="EY53" s="44" t="str">
        <f>IF(AND(ET53="*",OR(EU54="*",EV54="*",EW54="*")), 1,"")</f>
        <v/>
      </c>
      <c r="EZ53" s="44" t="str">
        <f>IF(AND(ET53="*",EX54="*"),1,"")</f>
        <v/>
      </c>
      <c r="FA53" s="44" t="str">
        <f>IF(AND(EX54="*", OR(EU53="*", EV53="*",EW53="*")),1,"")</f>
        <v/>
      </c>
      <c r="FB53" s="44" t="str">
        <f>IF(AND(ET54="*",OR(EU53="*",EV53="*",EW53="*",EX53="*")),1,IF(AND(EX53="*",OR(ET54="*",EU54="*",EV54="*",EW54="*")),1,""))</f>
        <v/>
      </c>
      <c r="FC53" s="44" t="str">
        <f>IF(AND(EU53="*",OR(EU54="*",EV54="*",EW54="*")),1,IF(AND(EV53="*",OR(EU54="*",EV54="*",EW54="*")),1,IF(AND(EW53="*",OR(EU54="*",EV54="*",EW54="*")),1,"")))</f>
        <v/>
      </c>
      <c r="FD53" s="44" t="str">
        <f>IF(AND(ET53="*",ET54="*"),1,"")</f>
        <v/>
      </c>
      <c r="FF53" s="44"/>
      <c r="FG53" s="44"/>
      <c r="FH53" s="44"/>
      <c r="FI53" s="44"/>
      <c r="FJ53" s="44"/>
      <c r="FK53" s="44" t="str">
        <f>IF(AND(FF53="*",OR(FG54="*",FH54="*",FI54="*")), 1,"")</f>
        <v/>
      </c>
      <c r="FL53" s="44" t="str">
        <f>IF(AND(FF53="*",FJ54="*"),1,"")</f>
        <v/>
      </c>
      <c r="FM53" s="44" t="str">
        <f>IF(AND(FJ54="*", OR(FG53="*", FH53="*",FI53="*")),1,"")</f>
        <v/>
      </c>
      <c r="FN53" s="44" t="str">
        <f>IF(AND(FF54="*",OR(FG53="*",FH53="*",FI53="*",FJ53="*")),1,IF(AND(FJ53="*",OR(FF54="*",FG54="*",FH54="*",FI54="*")),1,""))</f>
        <v/>
      </c>
      <c r="FO53" s="44" t="str">
        <f>IF(AND(FG53="*",OR(FG54="*",FH54="*",FI54="*")),1,IF(AND(FH53="*",OR(FG54="*",FH54="*",FI54="*")),1,IF(AND(FI53="*",OR(FG54="*",FH54="*",FI54="*")),1,"")))</f>
        <v/>
      </c>
      <c r="FP53" s="44" t="str">
        <f>IF(AND(FF53="*",FF54="*"),1,"")</f>
        <v/>
      </c>
      <c r="FR53" s="44"/>
      <c r="FS53" s="44"/>
      <c r="FT53" s="44"/>
      <c r="FU53" s="44"/>
      <c r="FV53" s="44"/>
      <c r="FW53" s="44" t="str">
        <f>IF(AND(FR53="*",OR(FS54="*",FT54="*",FU54="*")), 1,"")</f>
        <v/>
      </c>
      <c r="FX53" s="44" t="str">
        <f>IF(AND(FR53="*",FV54="*"),1,"")</f>
        <v/>
      </c>
      <c r="FY53" s="44" t="str">
        <f>IF(AND(FV54="*", OR(FS53="*", FT53="*",FU53="*")),1,"")</f>
        <v/>
      </c>
      <c r="FZ53" s="44" t="str">
        <f>IF(AND(FR54="*",OR(FS53="*",FT53="*",FU53="*",FV53="*")),1,IF(AND(FV53="*",OR(FR54="*",FS54="*",FT54="*",FU54="*")),1,""))</f>
        <v/>
      </c>
      <c r="GA53" s="44" t="str">
        <f>IF(AND(FS53="*",OR(FS54="*",FT54="*",FU54="*")),1,IF(AND(FT53="*",OR(FS54="*",FT54="*",FU54="*")),1,IF(AND(FU53="*",OR(FS54="*",FT54="*",FU54="*")),1,"")))</f>
        <v/>
      </c>
      <c r="GB53" s="44" t="str">
        <f>IF(AND(FR53="*",FR54="*"),1,"")</f>
        <v/>
      </c>
      <c r="GD53" s="44"/>
      <c r="GE53" s="44"/>
      <c r="GF53" s="44"/>
      <c r="GG53" s="44"/>
      <c r="GH53" s="44"/>
      <c r="GI53" s="44"/>
      <c r="GJ53" s="44" t="str">
        <f>IF(AND(GD53="*",OR(GE54="*",GF54="*",GG54="*")), 1,"")</f>
        <v/>
      </c>
      <c r="GK53" s="44" t="str">
        <f>IF(AND(GD53="*",GH54="*"),1,"")</f>
        <v/>
      </c>
      <c r="GL53" s="44" t="str">
        <f>IF(AND(GH54="*", OR(GE53="*", GF53="*",GG53="*")),1,"")</f>
        <v/>
      </c>
      <c r="GM53" s="44" t="str">
        <f>IF(AND(GD54="*",OR(GE53="*",GF53="*",GG53="*",GH53="*")),1,IF(AND(GH53="*",OR(GD54="*",GE54="*",GF54="*",GG54="*")),1,""))</f>
        <v/>
      </c>
      <c r="GN53" s="44" t="str">
        <f>IF(AND(GE53="*",OR(GE54="*",GF54="*",GG54="*")),1,IF(AND(GF53="*",OR(GE54="*",GF54="*",GG54="*")),1,IF(AND(GG53="*",OR(GE54="*",GF54="*",GG54="*")),1,"")))</f>
        <v/>
      </c>
      <c r="GO53" s="44" t="str">
        <f>IF(AND(GD53="*",GD54="*"),1,"")</f>
        <v/>
      </c>
      <c r="GQ53" s="44"/>
      <c r="GR53" s="44"/>
      <c r="GS53" s="44"/>
      <c r="GT53" s="44"/>
      <c r="GU53" s="44"/>
      <c r="GV53" s="44" t="str">
        <f>IF(AND(GQ53="*",OR(GR54="*",GS54="*",GT54="*")), 1,"")</f>
        <v/>
      </c>
      <c r="GW53" s="44" t="str">
        <f>IF(AND(GQ53="*",GU54="*"),1,"")</f>
        <v/>
      </c>
      <c r="GX53" s="44" t="str">
        <f>IF(AND(GU54="*", OR(GR53="*", GS53="*",GT53="*")),1,"")</f>
        <v/>
      </c>
      <c r="GY53" s="44" t="str">
        <f>IF(AND(GQ54="*",OR(GR53="*",GS53="*",GT53="*",GU53="*")),1,IF(AND(GU53="*",OR(GQ54="*",GR54="*",GS54="*",GT54="*")),1,""))</f>
        <v/>
      </c>
      <c r="GZ53" s="44" t="str">
        <f>IF(AND(GR53="*",OR(GR54="*",GS54="*",GT54="*")),1,IF(AND(GS53="*",OR(GR54="*",GS54="*",GT54="*")),1,IF(AND(GT53="*",OR(GR54="*",GS54="*",GT54="*")),1,"")))</f>
        <v/>
      </c>
      <c r="HA53" s="44" t="str">
        <f>IF(AND(GQ53="*",GQ54="*"),1,"")</f>
        <v/>
      </c>
      <c r="HC53" s="44"/>
      <c r="HD53" s="44"/>
      <c r="HE53" s="44"/>
      <c r="HF53" s="44"/>
      <c r="HG53" s="44"/>
      <c r="HH53" s="44" t="str">
        <f>IF(AND(HC53="*",OR(HD54="*",HE54="*",HF54="*")), 1,"")</f>
        <v/>
      </c>
      <c r="HI53" s="44" t="str">
        <f>IF(AND(HC53="*",HG54="*"),1,"")</f>
        <v/>
      </c>
      <c r="HJ53" s="44" t="str">
        <f>IF(AND(HG54="*", OR(HD53="*", HE53="*",HF53="*")),1,"")</f>
        <v/>
      </c>
      <c r="HK53" s="44" t="str">
        <f>IF(AND(HC54="*",OR(HD53="*",HE53="*",HF53="*",HG53="*")),1,IF(AND(HG53="*",OR(HC54="*",HD54="*",HE54="*",HF54="*")),1,""))</f>
        <v/>
      </c>
      <c r="HL53" s="44" t="str">
        <f>IF(AND(HD53="*",OR(HD54="*",HE54="*",HF54="*")),1,IF(AND(HE53="*",OR(HD54="*",HE54="*",HF54="*")),1,IF(AND(HF53="*",OR(HD54="*",HE54="*",HF54="*")),1,"")))</f>
        <v/>
      </c>
      <c r="HM53" s="44" t="str">
        <f>IF(AND(HC53="*",HC54="*"),1,"")</f>
        <v/>
      </c>
      <c r="HO53" s="44"/>
      <c r="HP53" s="44"/>
      <c r="HQ53" s="44"/>
      <c r="HR53" s="44"/>
      <c r="HS53" s="44"/>
      <c r="HT53" s="44" t="str">
        <f>IF(AND(HO53="*",OR(HP54="*",HQ54="*",HR54="*")), 1,"")</f>
        <v/>
      </c>
      <c r="HU53" s="44" t="str">
        <f>IF(AND(HO53="*",HS54="*"),1,"")</f>
        <v/>
      </c>
      <c r="HV53" s="44" t="str">
        <f>IF(AND(HS54="*", OR(HP53="*", HQ53="*",HR53="*")),1,"")</f>
        <v/>
      </c>
      <c r="HW53" s="44" t="str">
        <f>IF(AND(HO54="*",OR(HP53="*",HQ53="*",HR53="*",HS53="*")),1,IF(AND(HS53="*",OR(HO54="*",HP54="*",HQ54="*",HR54="*")),1,""))</f>
        <v/>
      </c>
      <c r="HX53" s="44" t="str">
        <f>IF(AND(HP53="*",OR(HP54="*",HQ54="*",HR54="*")),1,IF(AND(HQ53="*",OR(HP54="*",HQ54="*",HR54="*")),1,IF(AND(HR53="*",OR(HP54="*",HQ54="*",HR54="*")),1,"")))</f>
        <v/>
      </c>
      <c r="HY53" s="44" t="str">
        <f>IF(AND(HO53="*",HO54="*"),1,"")</f>
        <v/>
      </c>
      <c r="IA53" s="44"/>
      <c r="IB53" s="44"/>
      <c r="IC53" s="44"/>
      <c r="ID53" s="44"/>
      <c r="IE53" s="44"/>
      <c r="IF53" s="44" t="str">
        <f>IF(AND(IA53="*",OR(IB54="*",IC54="*",ID54="*")), 1,"")</f>
        <v/>
      </c>
      <c r="IG53" s="44" t="str">
        <f>IF(AND(IA53="*",IE54="*"),1,"")</f>
        <v/>
      </c>
      <c r="IH53" s="44" t="str">
        <f>IF(AND(IE54="*", OR(IB53="*", IC53="*",ID53="*")),1,"")</f>
        <v/>
      </c>
      <c r="II53" s="44" t="str">
        <f>IF(AND(IA54="*",OR(IB53="*",IC53="*",ID53="*",IE53="*")),1,IF(AND(IE53="*",OR(IA54="*",IB54="*",IC54="*",ID54="*")),1,""))</f>
        <v/>
      </c>
      <c r="IJ53" s="44" t="str">
        <f>IF(AND(IB53="*",OR(IB54="*",IC54="*",ID54="*")),1,IF(AND(IC53="*",OR(IB54="*",IC54="*",ID54="*")),1,IF(AND(ID53="*",OR(IB54="*",IC54="*",ID54="*")),1,"")))</f>
        <v/>
      </c>
      <c r="IK53" s="44" t="str">
        <f>IF(AND(IA53="*",IA54="*"),1,"")</f>
        <v/>
      </c>
      <c r="IL53" s="44">
        <f>COUNT(J53,V53,AH53,AT53,BF53,BS53,CE53,CQ53,DC53,DO53,EA53,EM53,EY53,FK53,FW53,GJ53,GV53,HH53,HT53,IF53)</f>
        <v>0</v>
      </c>
      <c r="IM53" s="44">
        <f t="shared" ref="IM53:IQ53" si="25">COUNT(K53,W53,AI53,AU53,BG53,BT53,CF53,CR53,DD53,DP53,EB53,EN53,EZ53,FL53,FX53,GK53,GW53,HI53,HU53,IG53)</f>
        <v>0</v>
      </c>
      <c r="IN53" s="44">
        <f t="shared" si="25"/>
        <v>0</v>
      </c>
      <c r="IO53" s="44">
        <f t="shared" si="25"/>
        <v>0</v>
      </c>
      <c r="IP53" s="44">
        <f t="shared" si="25"/>
        <v>0</v>
      </c>
      <c r="IQ53" s="44">
        <f t="shared" si="25"/>
        <v>0</v>
      </c>
    </row>
    <row r="54" spans="2:251" ht="15" customHeight="1" x14ac:dyDescent="0.4">
      <c r="B54" s="273"/>
      <c r="C54" s="275"/>
      <c r="D54" s="42" t="s">
        <v>52</v>
      </c>
      <c r="E54" s="44"/>
      <c r="F54" s="44"/>
      <c r="G54" s="44"/>
      <c r="H54" s="44"/>
      <c r="I54" s="44"/>
      <c r="J54" s="43"/>
      <c r="K54" s="43"/>
      <c r="L54" s="43"/>
      <c r="M54" s="43"/>
      <c r="N54" s="43"/>
      <c r="O54" s="43"/>
      <c r="Q54" s="44"/>
      <c r="R54" s="44"/>
      <c r="S54" s="44"/>
      <c r="T54" s="44"/>
      <c r="U54" s="44"/>
      <c r="V54" s="43"/>
      <c r="W54" s="43"/>
      <c r="X54" s="43"/>
      <c r="Y54" s="43"/>
      <c r="Z54" s="43"/>
      <c r="AA54" s="43"/>
      <c r="AC54" s="44"/>
      <c r="AD54" s="44"/>
      <c r="AE54" s="44"/>
      <c r="AF54" s="44"/>
      <c r="AG54" s="44"/>
      <c r="AH54" s="43"/>
      <c r="AI54" s="43"/>
      <c r="AJ54" s="43"/>
      <c r="AK54" s="43"/>
      <c r="AL54" s="43"/>
      <c r="AM54" s="43"/>
      <c r="AO54" s="44"/>
      <c r="AP54" s="44"/>
      <c r="AQ54" s="44"/>
      <c r="AR54" s="44"/>
      <c r="AS54" s="44"/>
      <c r="AT54" s="43"/>
      <c r="AU54" s="43"/>
      <c r="AV54" s="43"/>
      <c r="AW54" s="43"/>
      <c r="AX54" s="43"/>
      <c r="AY54" s="43"/>
      <c r="BA54" s="44"/>
      <c r="BB54" s="44"/>
      <c r="BC54" s="44"/>
      <c r="BD54" s="44"/>
      <c r="BE54" s="44"/>
      <c r="BF54" s="43"/>
      <c r="BG54" s="43"/>
      <c r="BH54" s="43"/>
      <c r="BI54" s="43"/>
      <c r="BJ54" s="43"/>
      <c r="BK54" s="43"/>
      <c r="BM54" s="44"/>
      <c r="BN54" s="44"/>
      <c r="BO54" s="44"/>
      <c r="BP54" s="44"/>
      <c r="BQ54" s="44"/>
      <c r="BR54" s="44"/>
      <c r="BS54" s="43"/>
      <c r="BT54" s="43"/>
      <c r="BU54" s="43"/>
      <c r="BV54" s="43"/>
      <c r="BW54" s="43"/>
      <c r="BX54" s="43"/>
      <c r="BZ54" s="44"/>
      <c r="CA54" s="44"/>
      <c r="CB54" s="44"/>
      <c r="CC54" s="44"/>
      <c r="CD54" s="44"/>
      <c r="CE54" s="43"/>
      <c r="CF54" s="43"/>
      <c r="CG54" s="43"/>
      <c r="CH54" s="43"/>
      <c r="CI54" s="43"/>
      <c r="CJ54" s="43"/>
      <c r="CL54" s="44"/>
      <c r="CM54" s="44"/>
      <c r="CN54" s="44"/>
      <c r="CO54" s="44"/>
      <c r="CP54" s="44"/>
      <c r="CQ54" s="43"/>
      <c r="CR54" s="43"/>
      <c r="CS54" s="43"/>
      <c r="CT54" s="43"/>
      <c r="CU54" s="43"/>
      <c r="CV54" s="43"/>
      <c r="CX54" s="44"/>
      <c r="CY54" s="44"/>
      <c r="CZ54" s="44"/>
      <c r="DA54" s="44"/>
      <c r="DB54" s="44"/>
      <c r="DC54" s="43"/>
      <c r="DD54" s="43"/>
      <c r="DE54" s="43"/>
      <c r="DF54" s="43"/>
      <c r="DG54" s="43"/>
      <c r="DH54" s="43"/>
      <c r="DJ54" s="44"/>
      <c r="DK54" s="44"/>
      <c r="DL54" s="44"/>
      <c r="DM54" s="44"/>
      <c r="DN54" s="44"/>
      <c r="DO54" s="43"/>
      <c r="DP54" s="43"/>
      <c r="DQ54" s="43"/>
      <c r="DR54" s="43"/>
      <c r="DS54" s="43"/>
      <c r="DT54" s="43"/>
      <c r="DV54" s="44"/>
      <c r="DW54" s="44"/>
      <c r="DX54" s="44"/>
      <c r="DY54" s="44"/>
      <c r="DZ54" s="44"/>
      <c r="EA54" s="43"/>
      <c r="EB54" s="43"/>
      <c r="EC54" s="43"/>
      <c r="ED54" s="43"/>
      <c r="EE54" s="43"/>
      <c r="EF54" s="43"/>
      <c r="EH54" s="44"/>
      <c r="EI54" s="44"/>
      <c r="EJ54" s="44"/>
      <c r="EK54" s="44"/>
      <c r="EL54" s="44"/>
      <c r="EM54" s="43"/>
      <c r="EN54" s="43"/>
      <c r="EO54" s="43"/>
      <c r="EP54" s="43"/>
      <c r="EQ54" s="43"/>
      <c r="ER54" s="43"/>
      <c r="ET54" s="44"/>
      <c r="EU54" s="44"/>
      <c r="EV54" s="44"/>
      <c r="EW54" s="44"/>
      <c r="EX54" s="44"/>
      <c r="EY54" s="43"/>
      <c r="EZ54" s="43"/>
      <c r="FA54" s="43"/>
      <c r="FB54" s="43"/>
      <c r="FC54" s="43"/>
      <c r="FD54" s="43"/>
      <c r="FF54" s="44"/>
      <c r="FG54" s="44"/>
      <c r="FH54" s="44"/>
      <c r="FI54" s="44"/>
      <c r="FJ54" s="44"/>
      <c r="FK54" s="43"/>
      <c r="FL54" s="43"/>
      <c r="FM54" s="43"/>
      <c r="FN54" s="43"/>
      <c r="FO54" s="43"/>
      <c r="FP54" s="43"/>
      <c r="FR54" s="44"/>
      <c r="FS54" s="44"/>
      <c r="FT54" s="44"/>
      <c r="FU54" s="44"/>
      <c r="FV54" s="44"/>
      <c r="FW54" s="43"/>
      <c r="FX54" s="43"/>
      <c r="FY54" s="43"/>
      <c r="FZ54" s="43"/>
      <c r="GA54" s="43"/>
      <c r="GB54" s="43"/>
      <c r="GD54" s="44"/>
      <c r="GE54" s="44"/>
      <c r="GF54" s="44"/>
      <c r="GG54" s="44"/>
      <c r="GH54" s="44"/>
      <c r="GI54" s="44"/>
      <c r="GJ54" s="43"/>
      <c r="GK54" s="43"/>
      <c r="GL54" s="43"/>
      <c r="GM54" s="43"/>
      <c r="GN54" s="43"/>
      <c r="GO54" s="43"/>
      <c r="GQ54" s="44"/>
      <c r="GR54" s="44"/>
      <c r="GS54" s="44"/>
      <c r="GT54" s="44"/>
      <c r="GU54" s="44"/>
      <c r="GV54" s="43"/>
      <c r="GW54" s="43"/>
      <c r="GX54" s="43"/>
      <c r="GY54" s="43"/>
      <c r="GZ54" s="43"/>
      <c r="HA54" s="43"/>
      <c r="HC54" s="44"/>
      <c r="HD54" s="44"/>
      <c r="HE54" s="44"/>
      <c r="HF54" s="44"/>
      <c r="HG54" s="44"/>
      <c r="HH54" s="43"/>
      <c r="HI54" s="43"/>
      <c r="HJ54" s="43"/>
      <c r="HK54" s="43"/>
      <c r="HL54" s="43"/>
      <c r="HM54" s="43"/>
      <c r="HO54" s="44"/>
      <c r="HP54" s="44"/>
      <c r="HQ54" s="44"/>
      <c r="HR54" s="44"/>
      <c r="HS54" s="44"/>
      <c r="HT54" s="43"/>
      <c r="HU54" s="43"/>
      <c r="HV54" s="43"/>
      <c r="HW54" s="43"/>
      <c r="HX54" s="43"/>
      <c r="HY54" s="43"/>
      <c r="IA54" s="44"/>
      <c r="IB54" s="44"/>
      <c r="IC54" s="44"/>
      <c r="ID54" s="44"/>
      <c r="IE54" s="44"/>
      <c r="IF54" s="43"/>
      <c r="IG54" s="43"/>
      <c r="IH54" s="43"/>
      <c r="II54" s="43"/>
      <c r="IJ54" s="43"/>
      <c r="IK54" s="43"/>
    </row>
    <row r="55" spans="2:251" ht="15" customHeight="1" x14ac:dyDescent="0.4">
      <c r="B55" s="276">
        <v>27</v>
      </c>
      <c r="C55" s="278">
        <f>고객요구사항도출표!C31</f>
        <v>0</v>
      </c>
      <c r="D55" s="40" t="s">
        <v>55</v>
      </c>
      <c r="E55" s="41"/>
      <c r="F55" s="41"/>
      <c r="G55" s="41"/>
      <c r="H55" s="41"/>
      <c r="I55" s="41"/>
      <c r="J55" s="41" t="str">
        <f>IF(AND(E55="*",OR(F56="*",G56="*",H56="*")), 1,"")</f>
        <v/>
      </c>
      <c r="K55" s="41" t="str">
        <f>IF(AND(E55="*",I56="*"),1,"")</f>
        <v/>
      </c>
      <c r="L55" s="41" t="str">
        <f>IF(AND(I56="*", OR(F55="*", G55="*",H55="*")),1,"")</f>
        <v/>
      </c>
      <c r="M55" s="41" t="str">
        <f>IF(AND(E56="*",OR(F55="*",G55="*",H55="*",I55="*")),1,IF(AND(I55="*",OR(E56="*",F56="*",G56="*",H56="*")),1,""))</f>
        <v/>
      </c>
      <c r="N55" s="41" t="str">
        <f>IF(AND(F55="*",OR(F56="*",G56="*",H56="*")),1,IF(AND(G55="*",OR(F56="*",G56="*",H56="*")),1,IF(AND(H55="*",OR(F56="*",G56="*",H56="*")),1,"")))</f>
        <v/>
      </c>
      <c r="O55" s="41" t="str">
        <f>IF(AND(E55="*",E56="*"),1,"")</f>
        <v/>
      </c>
      <c r="Q55" s="41"/>
      <c r="R55" s="41"/>
      <c r="S55" s="41"/>
      <c r="T55" s="41"/>
      <c r="U55" s="41"/>
      <c r="V55" s="41" t="str">
        <f>IF(AND(Q55="*",OR(R56="*",S56="*",T56="*")), 1,"")</f>
        <v/>
      </c>
      <c r="W55" s="41" t="str">
        <f>IF(AND(Q55="*",U56="*"),1,"")</f>
        <v/>
      </c>
      <c r="X55" s="41" t="str">
        <f>IF(AND(U56="*", OR(R55="*", S55="*",T55="*")),1,"")</f>
        <v/>
      </c>
      <c r="Y55" s="41" t="str">
        <f>IF(AND(Q56="*",OR(R55="*",S55="*",T55="*",U55="*")),1,IF(AND(U55="*",OR(Q56="*",R56="*",S56="*",T56="*")),1,""))</f>
        <v/>
      </c>
      <c r="Z55" s="41" t="str">
        <f>IF(AND(R55="*",OR(R56="*",S56="*",T56="*")),1,IF(AND(S55="*",OR(R56="*",S56="*",T56="*")),1,IF(AND(T55="*",OR(R56="*",S56="*",T56="*")),1,"")))</f>
        <v/>
      </c>
      <c r="AA55" s="41" t="str">
        <f>IF(AND(Q55="*",Q56="*"),1,"")</f>
        <v/>
      </c>
      <c r="AC55" s="41"/>
      <c r="AD55" s="41"/>
      <c r="AE55" s="41"/>
      <c r="AF55" s="41"/>
      <c r="AG55" s="41"/>
      <c r="AH55" s="41" t="str">
        <f>IF(AND(AC55="*",OR(AD56="*",AE56="*",AF56="*")), 1,"")</f>
        <v/>
      </c>
      <c r="AI55" s="41" t="str">
        <f>IF(AND(AC55="*",AG56="*"),1,"")</f>
        <v/>
      </c>
      <c r="AJ55" s="41" t="str">
        <f>IF(AND(AG56="*", OR(AD55="*", AE55="*",AF55="*")),1,"")</f>
        <v/>
      </c>
      <c r="AK55" s="41" t="str">
        <f>IF(AND(AC56="*",OR(AD55="*",AE55="*",AF55="*",AG55="*")),1,IF(AND(AG55="*",OR(AC56="*",AD56="*",AE56="*",AF56="*")),1,""))</f>
        <v/>
      </c>
      <c r="AL55" s="41" t="str">
        <f>IF(AND(AD55="*",OR(AD56="*",AE56="*",AF56="*")),1,IF(AND(AE55="*",OR(AD56="*",AE56="*",AF56="*")),1,IF(AND(AF55="*",OR(AD56="*",AE56="*",AF56="*")),1,"")))</f>
        <v/>
      </c>
      <c r="AM55" s="41" t="str">
        <f>IF(AND(AC55="*",AC56="*"),1,"")</f>
        <v/>
      </c>
      <c r="AO55" s="41"/>
      <c r="AP55" s="41"/>
      <c r="AQ55" s="41"/>
      <c r="AR55" s="41"/>
      <c r="AS55" s="41"/>
      <c r="AT55" s="41" t="str">
        <f>IF(AND(AO55="*",OR(AP56="*",AQ56="*",AR56="*")), 1,"")</f>
        <v/>
      </c>
      <c r="AU55" s="41" t="str">
        <f>IF(AND(AO55="*",AS56="*"),1,"")</f>
        <v/>
      </c>
      <c r="AV55" s="41" t="str">
        <f>IF(AND(AS56="*", OR(AP55="*", AQ55="*",AR55="*")),1,"")</f>
        <v/>
      </c>
      <c r="AW55" s="41" t="str">
        <f>IF(AND(AO56="*",OR(AP55="*",AQ55="*",AR55="*",AS55="*")),1,IF(AND(AS55="*",OR(AO56="*",AP56="*",AQ56="*",AR56="*")),1,""))</f>
        <v/>
      </c>
      <c r="AX55" s="41" t="str">
        <f>IF(AND(AP55="*",OR(AP56="*",AQ56="*",AR56="*")),1,IF(AND(AQ55="*",OR(AP56="*",AQ56="*",AR56="*")),1,IF(AND(AR55="*",OR(AP56="*",AQ56="*",AR56="*")),1,"")))</f>
        <v/>
      </c>
      <c r="AY55" s="41" t="str">
        <f>IF(AND(AO55="*",AO56="*"),1,"")</f>
        <v/>
      </c>
      <c r="BA55" s="41"/>
      <c r="BB55" s="41"/>
      <c r="BC55" s="41"/>
      <c r="BD55" s="41"/>
      <c r="BE55" s="41"/>
      <c r="BF55" s="41" t="str">
        <f>IF(AND(BA55="*",OR(BB56="*",BC56="*",BD56="*")), 1,"")</f>
        <v/>
      </c>
      <c r="BG55" s="41" t="str">
        <f>IF(AND(BA55="*",BE56="*"),1,"")</f>
        <v/>
      </c>
      <c r="BH55" s="41" t="str">
        <f>IF(AND(BE56="*", OR(BB55="*", BC55="*",BD55="*")),1,"")</f>
        <v/>
      </c>
      <c r="BI55" s="41" t="str">
        <f>IF(AND(BA56="*",OR(BB55="*",BC55="*",BD55="*",BE55="*")),1,IF(AND(BE55="*",OR(BA56="*",BB56="*",BC56="*",BD56="*")),1,""))</f>
        <v/>
      </c>
      <c r="BJ55" s="41" t="str">
        <f>IF(AND(BB55="*",OR(BB56="*",BC56="*",BD56="*")),1,IF(AND(BC55="*",OR(BB56="*",BC56="*",BD56="*")),1,IF(AND(BD55="*",OR(BB56="*",BC56="*",BD56="*")),1,"")))</f>
        <v/>
      </c>
      <c r="BK55" s="41" t="str">
        <f>IF(AND(BA55="*",BA56="*"),1,"")</f>
        <v/>
      </c>
      <c r="BM55" s="41"/>
      <c r="BN55" s="41"/>
      <c r="BO55" s="41"/>
      <c r="BP55" s="41"/>
      <c r="BQ55" s="41"/>
      <c r="BR55" s="41"/>
      <c r="BS55" s="41" t="str">
        <f>IF(AND(BM55="*",OR(BN56="*",BO56="*",BP56="*")), 1,"")</f>
        <v/>
      </c>
      <c r="BT55" s="41" t="str">
        <f>IF(AND(BM55="*",BQ56="*"),1,"")</f>
        <v/>
      </c>
      <c r="BU55" s="41" t="str">
        <f>IF(AND(BQ56="*", OR(BN55="*", BO55="*",BP55="*")),1,"")</f>
        <v/>
      </c>
      <c r="BV55" s="41" t="str">
        <f>IF(AND(BM56="*",OR(BN55="*",BO55="*",BP55="*",BQ55="*")),1,IF(AND(BQ55="*",OR(BM56="*",BN56="*",BO56="*",BP56="*")),1,""))</f>
        <v/>
      </c>
      <c r="BW55" s="41" t="str">
        <f>IF(AND(BN55="*",OR(BN56="*",BO56="*",BP56="*")),1,IF(AND(BO55="*",OR(BN56="*",BO56="*",BP56="*")),1,IF(AND(BP55="*",OR(BN56="*",BO56="*",BP56="*")),1,"")))</f>
        <v/>
      </c>
      <c r="BX55" s="41" t="str">
        <f>IF(AND(BM55="*",BM56="*"),1,"")</f>
        <v/>
      </c>
      <c r="BZ55" s="41"/>
      <c r="CA55" s="41"/>
      <c r="CB55" s="41"/>
      <c r="CC55" s="41"/>
      <c r="CD55" s="41"/>
      <c r="CE55" s="41" t="str">
        <f>IF(AND(BZ55="*",OR(CA56="*",CB56="*",CC56="*")), 1,"")</f>
        <v/>
      </c>
      <c r="CF55" s="41" t="str">
        <f>IF(AND(BZ55="*",CD56="*"),1,"")</f>
        <v/>
      </c>
      <c r="CG55" s="41" t="str">
        <f>IF(AND(CD56="*", OR(CA55="*", CB55="*",CC55="*")),1,"")</f>
        <v/>
      </c>
      <c r="CH55" s="41" t="str">
        <f>IF(AND(BZ56="*",OR(CA55="*",CB55="*",CC55="*",CD55="*")),1,IF(AND(CD55="*",OR(BZ56="*",CA56="*",CB56="*",CC56="*")),1,""))</f>
        <v/>
      </c>
      <c r="CI55" s="41" t="str">
        <f>IF(AND(CA55="*",OR(CA56="*",CB56="*",CC56="*")),1,IF(AND(CB55="*",OR(CA56="*",CB56="*",CC56="*")),1,IF(AND(CC55="*",OR(CA56="*",CB56="*",CC56="*")),1,"")))</f>
        <v/>
      </c>
      <c r="CJ55" s="41" t="str">
        <f>IF(AND(BZ55="*",BZ56="*"),1,"")</f>
        <v/>
      </c>
      <c r="CL55" s="41"/>
      <c r="CM55" s="41"/>
      <c r="CN55" s="41"/>
      <c r="CO55" s="41"/>
      <c r="CP55" s="41"/>
      <c r="CQ55" s="41" t="str">
        <f>IF(AND(CL55="*",OR(CM56="*",CN56="*",CO56="*")), 1,"")</f>
        <v/>
      </c>
      <c r="CR55" s="41" t="str">
        <f>IF(AND(CL55="*",CP56="*"),1,"")</f>
        <v/>
      </c>
      <c r="CS55" s="41" t="str">
        <f>IF(AND(CP56="*", OR(CM55="*", CN55="*",CO55="*")),1,"")</f>
        <v/>
      </c>
      <c r="CT55" s="41" t="str">
        <f>IF(AND(CL56="*",OR(CM55="*",CN55="*",CO55="*",CP55="*")),1,IF(AND(CP55="*",OR(CL56="*",CM56="*",CN56="*",CO56="*")),1,""))</f>
        <v/>
      </c>
      <c r="CU55" s="41" t="str">
        <f>IF(AND(CM55="*",OR(CM56="*",CN56="*",CO56="*")),1,IF(AND(CN55="*",OR(CM56="*",CN56="*",CO56="*")),1,IF(AND(CO55="*",OR(CM56="*",CN56="*",CO56="*")),1,"")))</f>
        <v/>
      </c>
      <c r="CV55" s="41" t="str">
        <f>IF(AND(CL55="*",CL56="*"),1,"")</f>
        <v/>
      </c>
      <c r="CX55" s="41"/>
      <c r="CY55" s="41"/>
      <c r="CZ55" s="41"/>
      <c r="DA55" s="41"/>
      <c r="DB55" s="41"/>
      <c r="DC55" s="41" t="str">
        <f>IF(AND(CX55="*",OR(CY56="*",CZ56="*",DA56="*")), 1,"")</f>
        <v/>
      </c>
      <c r="DD55" s="41" t="str">
        <f>IF(AND(CX55="*",DB56="*"),1,"")</f>
        <v/>
      </c>
      <c r="DE55" s="41" t="str">
        <f>IF(AND(DB56="*", OR(CY55="*", CZ55="*",DA55="*")),1,"")</f>
        <v/>
      </c>
      <c r="DF55" s="41" t="str">
        <f>IF(AND(CX56="*",OR(CY55="*",CZ55="*",DA55="*",DB55="*")),1,IF(AND(DB55="*",OR(CX56="*",CY56="*",CZ56="*",DA56="*")),1,""))</f>
        <v/>
      </c>
      <c r="DG55" s="41" t="str">
        <f>IF(AND(CY55="*",OR(CY56="*",CZ56="*",DA56="*")),1,IF(AND(CZ55="*",OR(CY56="*",CZ56="*",DA56="*")),1,IF(AND(DA55="*",OR(CY56="*",CZ56="*",DA56="*")),1,"")))</f>
        <v/>
      </c>
      <c r="DH55" s="41" t="str">
        <f>IF(AND(CX55="*",CX56="*"),1,"")</f>
        <v/>
      </c>
      <c r="DJ55" s="41"/>
      <c r="DK55" s="41"/>
      <c r="DL55" s="41"/>
      <c r="DM55" s="41"/>
      <c r="DN55" s="41"/>
      <c r="DO55" s="41" t="str">
        <f>IF(AND(DJ55="*",OR(DK56="*",DL56="*",DM56="*")), 1,"")</f>
        <v/>
      </c>
      <c r="DP55" s="41" t="str">
        <f>IF(AND(DJ55="*",DN56="*"),1,"")</f>
        <v/>
      </c>
      <c r="DQ55" s="41" t="str">
        <f>IF(AND(DN56="*", OR(DK55="*", DL55="*",DM55="*")),1,"")</f>
        <v/>
      </c>
      <c r="DR55" s="41" t="str">
        <f>IF(AND(DJ56="*",OR(DK55="*",DL55="*",DM55="*",DN55="*")),1,IF(AND(DN55="*",OR(DJ56="*",DK56="*",DL56="*",DM56="*")),1,""))</f>
        <v/>
      </c>
      <c r="DS55" s="41" t="str">
        <f>IF(AND(DK55="*",OR(DK56="*",DL56="*",DM56="*")),1,IF(AND(DL55="*",OR(DK56="*",DL56="*",DM56="*")),1,IF(AND(DM55="*",OR(DK56="*",DL56="*",DM56="*")),1,"")))</f>
        <v/>
      </c>
      <c r="DT55" s="41" t="str">
        <f>IF(AND(DJ55="*",DJ56="*"),1,"")</f>
        <v/>
      </c>
      <c r="DV55" s="41"/>
      <c r="DW55" s="41"/>
      <c r="DX55" s="41"/>
      <c r="DY55" s="41"/>
      <c r="DZ55" s="41"/>
      <c r="EA55" s="41" t="str">
        <f>IF(AND(DV55="*",OR(DW56="*",DX56="*",DY56="*")), 1,"")</f>
        <v/>
      </c>
      <c r="EB55" s="41" t="str">
        <f>IF(AND(DV55="*",DZ56="*"),1,"")</f>
        <v/>
      </c>
      <c r="EC55" s="41" t="str">
        <f>IF(AND(DZ56="*", OR(DW55="*", DX55="*",DY55="*")),1,"")</f>
        <v/>
      </c>
      <c r="ED55" s="41" t="str">
        <f>IF(AND(DV56="*",OR(DW55="*",DX55="*",DY55="*",DZ55="*")),1,IF(AND(DZ55="*",OR(DV56="*",DW56="*",DX56="*",DY56="*")),1,""))</f>
        <v/>
      </c>
      <c r="EE55" s="41" t="str">
        <f>IF(AND(DW55="*",OR(DW56="*",DX56="*",DY56="*")),1,IF(AND(DX55="*",OR(DW56="*",DX56="*",DY56="*")),1,IF(AND(DY55="*",OR(DW56="*",DX56="*",DY56="*")),1,"")))</f>
        <v/>
      </c>
      <c r="EF55" s="41" t="str">
        <f>IF(AND(DV55="*",DV56="*"),1,"")</f>
        <v/>
      </c>
      <c r="EH55" s="41"/>
      <c r="EI55" s="41"/>
      <c r="EJ55" s="41"/>
      <c r="EK55" s="41"/>
      <c r="EL55" s="41"/>
      <c r="EM55" s="41" t="str">
        <f>IF(AND(EH55="*",OR(EI56="*",EJ56="*",EK56="*")), 1,"")</f>
        <v/>
      </c>
      <c r="EN55" s="41" t="str">
        <f>IF(AND(EH55="*",EL56="*"),1,"")</f>
        <v/>
      </c>
      <c r="EO55" s="41" t="str">
        <f>IF(AND(EL56="*", OR(EI55="*", EJ55="*",EK55="*")),1,"")</f>
        <v/>
      </c>
      <c r="EP55" s="41" t="str">
        <f>IF(AND(EH56="*",OR(EI55="*",EJ55="*",EK55="*",EL55="*")),1,IF(AND(EL55="*",OR(EH56="*",EI56="*",EJ56="*",EK56="*")),1,""))</f>
        <v/>
      </c>
      <c r="EQ55" s="41" t="str">
        <f>IF(AND(EI55="*",OR(EI56="*",EJ56="*",EK56="*")),1,IF(AND(EJ55="*",OR(EI56="*",EJ56="*",EK56="*")),1,IF(AND(EK55="*",OR(EI56="*",EJ56="*",EK56="*")),1,"")))</f>
        <v/>
      </c>
      <c r="ER55" s="41" t="str">
        <f>IF(AND(EH55="*",EH56="*"),1,"")</f>
        <v/>
      </c>
      <c r="ET55" s="41"/>
      <c r="EU55" s="41"/>
      <c r="EV55" s="41"/>
      <c r="EW55" s="41"/>
      <c r="EX55" s="41"/>
      <c r="EY55" s="41" t="str">
        <f>IF(AND(ET55="*",OR(EU56="*",EV56="*",EW56="*")), 1,"")</f>
        <v/>
      </c>
      <c r="EZ55" s="41" t="str">
        <f>IF(AND(ET55="*",EX56="*"),1,"")</f>
        <v/>
      </c>
      <c r="FA55" s="41" t="str">
        <f>IF(AND(EX56="*", OR(EU55="*", EV55="*",EW55="*")),1,"")</f>
        <v/>
      </c>
      <c r="FB55" s="41" t="str">
        <f>IF(AND(ET56="*",OR(EU55="*",EV55="*",EW55="*",EX55="*")),1,IF(AND(EX55="*",OR(ET56="*",EU56="*",EV56="*",EW56="*")),1,""))</f>
        <v/>
      </c>
      <c r="FC55" s="41" t="str">
        <f>IF(AND(EU55="*",OR(EU56="*",EV56="*",EW56="*")),1,IF(AND(EV55="*",OR(EU56="*",EV56="*",EW56="*")),1,IF(AND(EW55="*",OR(EU56="*",EV56="*",EW56="*")),1,"")))</f>
        <v/>
      </c>
      <c r="FD55" s="41" t="str">
        <f>IF(AND(ET55="*",ET56="*"),1,"")</f>
        <v/>
      </c>
      <c r="FF55" s="41"/>
      <c r="FG55" s="41"/>
      <c r="FH55" s="41"/>
      <c r="FI55" s="41"/>
      <c r="FJ55" s="41"/>
      <c r="FK55" s="41" t="str">
        <f>IF(AND(FF55="*",OR(FG56="*",FH56="*",FI56="*")), 1,"")</f>
        <v/>
      </c>
      <c r="FL55" s="41" t="str">
        <f>IF(AND(FF55="*",FJ56="*"),1,"")</f>
        <v/>
      </c>
      <c r="FM55" s="41" t="str">
        <f>IF(AND(FJ56="*", OR(FG55="*", FH55="*",FI55="*")),1,"")</f>
        <v/>
      </c>
      <c r="FN55" s="41" t="str">
        <f>IF(AND(FF56="*",OR(FG55="*",FH55="*",FI55="*",FJ55="*")),1,IF(AND(FJ55="*",OR(FF56="*",FG56="*",FH56="*",FI56="*")),1,""))</f>
        <v/>
      </c>
      <c r="FO55" s="41" t="str">
        <f>IF(AND(FG55="*",OR(FG56="*",FH56="*",FI56="*")),1,IF(AND(FH55="*",OR(FG56="*",FH56="*",FI56="*")),1,IF(AND(FI55="*",OR(FG56="*",FH56="*",FI56="*")),1,"")))</f>
        <v/>
      </c>
      <c r="FP55" s="41" t="str">
        <f>IF(AND(FF55="*",FF56="*"),1,"")</f>
        <v/>
      </c>
      <c r="FR55" s="41"/>
      <c r="FS55" s="41"/>
      <c r="FT55" s="41"/>
      <c r="FU55" s="41"/>
      <c r="FV55" s="41"/>
      <c r="FW55" s="41" t="str">
        <f>IF(AND(FR55="*",OR(FS56="*",FT56="*",FU56="*")), 1,"")</f>
        <v/>
      </c>
      <c r="FX55" s="41" t="str">
        <f>IF(AND(FR55="*",FV56="*"),1,"")</f>
        <v/>
      </c>
      <c r="FY55" s="41" t="str">
        <f>IF(AND(FV56="*", OR(FS55="*", FT55="*",FU55="*")),1,"")</f>
        <v/>
      </c>
      <c r="FZ55" s="41" t="str">
        <f>IF(AND(FR56="*",OR(FS55="*",FT55="*",FU55="*",FV55="*")),1,IF(AND(FV55="*",OR(FR56="*",FS56="*",FT56="*",FU56="*")),1,""))</f>
        <v/>
      </c>
      <c r="GA55" s="41" t="str">
        <f>IF(AND(FS55="*",OR(FS56="*",FT56="*",FU56="*")),1,IF(AND(FT55="*",OR(FS56="*",FT56="*",FU56="*")),1,IF(AND(FU55="*",OR(FS56="*",FT56="*",FU56="*")),1,"")))</f>
        <v/>
      </c>
      <c r="GB55" s="41" t="str">
        <f>IF(AND(FR55="*",FR56="*"),1,"")</f>
        <v/>
      </c>
      <c r="GD55" s="41"/>
      <c r="GE55" s="41"/>
      <c r="GF55" s="41"/>
      <c r="GG55" s="41"/>
      <c r="GH55" s="41"/>
      <c r="GI55" s="41"/>
      <c r="GJ55" s="41" t="str">
        <f>IF(AND(GD55="*",OR(GE56="*",GF56="*",GG56="*")), 1,"")</f>
        <v/>
      </c>
      <c r="GK55" s="41" t="str">
        <f>IF(AND(GD55="*",GH56="*"),1,"")</f>
        <v/>
      </c>
      <c r="GL55" s="41" t="str">
        <f>IF(AND(GH56="*", OR(GE55="*", GF55="*",GG55="*")),1,"")</f>
        <v/>
      </c>
      <c r="GM55" s="41" t="str">
        <f>IF(AND(GD56="*",OR(GE55="*",GF55="*",GG55="*",GH55="*")),1,IF(AND(GH55="*",OR(GD56="*",GE56="*",GF56="*",GG56="*")),1,""))</f>
        <v/>
      </c>
      <c r="GN55" s="41" t="str">
        <f>IF(AND(GE55="*",OR(GE56="*",GF56="*",GG56="*")),1,IF(AND(GF55="*",OR(GE56="*",GF56="*",GG56="*")),1,IF(AND(GG55="*",OR(GE56="*",GF56="*",GG56="*")),1,"")))</f>
        <v/>
      </c>
      <c r="GO55" s="41" t="str">
        <f>IF(AND(GD55="*",GD56="*"),1,"")</f>
        <v/>
      </c>
      <c r="GQ55" s="41"/>
      <c r="GR55" s="41"/>
      <c r="GS55" s="41"/>
      <c r="GT55" s="41"/>
      <c r="GU55" s="41"/>
      <c r="GV55" s="41" t="str">
        <f>IF(AND(GQ55="*",OR(GR56="*",GS56="*",GT56="*")), 1,"")</f>
        <v/>
      </c>
      <c r="GW55" s="41" t="str">
        <f>IF(AND(GQ55="*",GU56="*"),1,"")</f>
        <v/>
      </c>
      <c r="GX55" s="41" t="str">
        <f>IF(AND(GU56="*", OR(GR55="*", GS55="*",GT55="*")),1,"")</f>
        <v/>
      </c>
      <c r="GY55" s="41" t="str">
        <f>IF(AND(GQ56="*",OR(GR55="*",GS55="*",GT55="*",GU55="*")),1,IF(AND(GU55="*",OR(GQ56="*",GR56="*",GS56="*",GT56="*")),1,""))</f>
        <v/>
      </c>
      <c r="GZ55" s="41" t="str">
        <f>IF(AND(GR55="*",OR(GR56="*",GS56="*",GT56="*")),1,IF(AND(GS55="*",OR(GR56="*",GS56="*",GT56="*")),1,IF(AND(GT55="*",OR(GR56="*",GS56="*",GT56="*")),1,"")))</f>
        <v/>
      </c>
      <c r="HA55" s="41" t="str">
        <f>IF(AND(GQ55="*",GQ56="*"),1,"")</f>
        <v/>
      </c>
      <c r="HC55" s="41"/>
      <c r="HD55" s="41"/>
      <c r="HE55" s="41"/>
      <c r="HF55" s="41"/>
      <c r="HG55" s="41"/>
      <c r="HH55" s="41" t="str">
        <f>IF(AND(HC55="*",OR(HD56="*",HE56="*",HF56="*")), 1,"")</f>
        <v/>
      </c>
      <c r="HI55" s="41" t="str">
        <f>IF(AND(HC55="*",HG56="*"),1,"")</f>
        <v/>
      </c>
      <c r="HJ55" s="41" t="str">
        <f>IF(AND(HG56="*", OR(HD55="*", HE55="*",HF55="*")),1,"")</f>
        <v/>
      </c>
      <c r="HK55" s="41" t="str">
        <f>IF(AND(HC56="*",OR(HD55="*",HE55="*",HF55="*",HG55="*")),1,IF(AND(HG55="*",OR(HC56="*",HD56="*",HE56="*",HF56="*")),1,""))</f>
        <v/>
      </c>
      <c r="HL55" s="41" t="str">
        <f>IF(AND(HD55="*",OR(HD56="*",HE56="*",HF56="*")),1,IF(AND(HE55="*",OR(HD56="*",HE56="*",HF56="*")),1,IF(AND(HF55="*",OR(HD56="*",HE56="*",HF56="*")),1,"")))</f>
        <v/>
      </c>
      <c r="HM55" s="41" t="str">
        <f>IF(AND(HC55="*",HC56="*"),1,"")</f>
        <v/>
      </c>
      <c r="HO55" s="41"/>
      <c r="HP55" s="41"/>
      <c r="HQ55" s="41"/>
      <c r="HR55" s="41"/>
      <c r="HS55" s="41"/>
      <c r="HT55" s="41" t="str">
        <f>IF(AND(HO55="*",OR(HP56="*",HQ56="*",HR56="*")), 1,"")</f>
        <v/>
      </c>
      <c r="HU55" s="41" t="str">
        <f>IF(AND(HO55="*",HS56="*"),1,"")</f>
        <v/>
      </c>
      <c r="HV55" s="41" t="str">
        <f>IF(AND(HS56="*", OR(HP55="*", HQ55="*",HR55="*")),1,"")</f>
        <v/>
      </c>
      <c r="HW55" s="41" t="str">
        <f>IF(AND(HO56="*",OR(HP55="*",HQ55="*",HR55="*",HS55="*")),1,IF(AND(HS55="*",OR(HO56="*",HP56="*",HQ56="*",HR56="*")),1,""))</f>
        <v/>
      </c>
      <c r="HX55" s="41" t="str">
        <f>IF(AND(HP55="*",OR(HP56="*",HQ56="*",HR56="*")),1,IF(AND(HQ55="*",OR(HP56="*",HQ56="*",HR56="*")),1,IF(AND(HR55="*",OR(HP56="*",HQ56="*",HR56="*")),1,"")))</f>
        <v/>
      </c>
      <c r="HY55" s="41" t="str">
        <f>IF(AND(HO55="*",HO56="*"),1,"")</f>
        <v/>
      </c>
      <c r="IA55" s="41"/>
      <c r="IB55" s="41"/>
      <c r="IC55" s="41"/>
      <c r="ID55" s="41"/>
      <c r="IE55" s="41"/>
      <c r="IF55" s="41" t="str">
        <f>IF(AND(IA55="*",OR(IB56="*",IC56="*",ID56="*")), 1,"")</f>
        <v/>
      </c>
      <c r="IG55" s="41" t="str">
        <f>IF(AND(IA55="*",IE56="*"),1,"")</f>
        <v/>
      </c>
      <c r="IH55" s="41" t="str">
        <f>IF(AND(IE56="*", OR(IB55="*", IC55="*",ID55="*")),1,"")</f>
        <v/>
      </c>
      <c r="II55" s="41" t="str">
        <f>IF(AND(IA56="*",OR(IB55="*",IC55="*",ID55="*",IE55="*")),1,IF(AND(IE55="*",OR(IA56="*",IB56="*",IC56="*",ID56="*")),1,""))</f>
        <v/>
      </c>
      <c r="IJ55" s="41" t="str">
        <f>IF(AND(IB55="*",OR(IB56="*",IC56="*",ID56="*")),1,IF(AND(IC55="*",OR(IB56="*",IC56="*",ID56="*")),1,IF(AND(ID55="*",OR(IB56="*",IC56="*",ID56="*")),1,"")))</f>
        <v/>
      </c>
      <c r="IK55" s="41" t="str">
        <f>IF(AND(IA55="*",IA56="*"),1,"")</f>
        <v/>
      </c>
      <c r="IL55" s="41">
        <f>COUNT(J55,V55,AH55,AT55,BF55,BS55,CE55,CQ55,DC55,DO55,EA55,EM55,EY55,FK55,FW55,GJ55,GV55,HH55,HT55,IF55)</f>
        <v>0</v>
      </c>
      <c r="IM55" s="41">
        <f t="shared" ref="IM55:IQ55" si="26">COUNT(K55,W55,AI55,AU55,BG55,BT55,CF55,CR55,DD55,DP55,EB55,EN55,EZ55,FL55,FX55,GK55,GW55,HI55,HU55,IG55)</f>
        <v>0</v>
      </c>
      <c r="IN55" s="41">
        <f t="shared" si="26"/>
        <v>0</v>
      </c>
      <c r="IO55" s="41">
        <f t="shared" si="26"/>
        <v>0</v>
      </c>
      <c r="IP55" s="41">
        <f t="shared" si="26"/>
        <v>0</v>
      </c>
      <c r="IQ55" s="41">
        <f t="shared" si="26"/>
        <v>0</v>
      </c>
    </row>
    <row r="56" spans="2:251" ht="15" customHeight="1" x14ac:dyDescent="0.4">
      <c r="B56" s="277"/>
      <c r="C56" s="279"/>
      <c r="D56" s="42" t="s">
        <v>52</v>
      </c>
      <c r="E56" s="41"/>
      <c r="F56" s="41"/>
      <c r="G56" s="41"/>
      <c r="H56" s="41"/>
      <c r="I56" s="41"/>
      <c r="J56" s="43"/>
      <c r="K56" s="43"/>
      <c r="L56" s="43"/>
      <c r="M56" s="43"/>
      <c r="N56" s="43"/>
      <c r="O56" s="43"/>
      <c r="Q56" s="41"/>
      <c r="R56" s="41"/>
      <c r="S56" s="41"/>
      <c r="T56" s="41"/>
      <c r="U56" s="41"/>
      <c r="V56" s="43"/>
      <c r="W56" s="43"/>
      <c r="X56" s="43"/>
      <c r="Y56" s="43"/>
      <c r="Z56" s="43"/>
      <c r="AA56" s="43"/>
      <c r="AC56" s="41"/>
      <c r="AD56" s="41"/>
      <c r="AE56" s="41"/>
      <c r="AF56" s="41"/>
      <c r="AG56" s="41"/>
      <c r="AH56" s="43"/>
      <c r="AI56" s="43"/>
      <c r="AJ56" s="43"/>
      <c r="AK56" s="43"/>
      <c r="AL56" s="43"/>
      <c r="AM56" s="43"/>
      <c r="AO56" s="41"/>
      <c r="AP56" s="41"/>
      <c r="AQ56" s="41"/>
      <c r="AR56" s="41"/>
      <c r="AS56" s="41"/>
      <c r="AT56" s="43"/>
      <c r="AU56" s="43"/>
      <c r="AV56" s="43"/>
      <c r="AW56" s="43"/>
      <c r="AX56" s="43"/>
      <c r="AY56" s="43"/>
      <c r="BA56" s="41"/>
      <c r="BB56" s="41"/>
      <c r="BC56" s="41"/>
      <c r="BD56" s="41"/>
      <c r="BE56" s="41"/>
      <c r="BF56" s="43"/>
      <c r="BG56" s="43"/>
      <c r="BH56" s="43"/>
      <c r="BI56" s="43"/>
      <c r="BJ56" s="43"/>
      <c r="BK56" s="43"/>
      <c r="BM56" s="41"/>
      <c r="BN56" s="41"/>
      <c r="BO56" s="41"/>
      <c r="BP56" s="41"/>
      <c r="BQ56" s="41"/>
      <c r="BR56" s="41"/>
      <c r="BS56" s="43"/>
      <c r="BT56" s="43"/>
      <c r="BU56" s="43"/>
      <c r="BV56" s="43"/>
      <c r="BW56" s="43"/>
      <c r="BX56" s="43"/>
      <c r="BZ56" s="41"/>
      <c r="CA56" s="41"/>
      <c r="CB56" s="41"/>
      <c r="CC56" s="41"/>
      <c r="CD56" s="41"/>
      <c r="CE56" s="43"/>
      <c r="CF56" s="43"/>
      <c r="CG56" s="43"/>
      <c r="CH56" s="43"/>
      <c r="CI56" s="43"/>
      <c r="CJ56" s="43"/>
      <c r="CL56" s="41"/>
      <c r="CM56" s="41"/>
      <c r="CN56" s="41"/>
      <c r="CO56" s="41"/>
      <c r="CP56" s="41"/>
      <c r="CQ56" s="43"/>
      <c r="CR56" s="43"/>
      <c r="CS56" s="43"/>
      <c r="CT56" s="43"/>
      <c r="CU56" s="43"/>
      <c r="CV56" s="43"/>
      <c r="CX56" s="41"/>
      <c r="CY56" s="41"/>
      <c r="CZ56" s="41"/>
      <c r="DA56" s="41"/>
      <c r="DB56" s="41"/>
      <c r="DC56" s="43"/>
      <c r="DD56" s="43"/>
      <c r="DE56" s="43"/>
      <c r="DF56" s="43"/>
      <c r="DG56" s="43"/>
      <c r="DH56" s="43"/>
      <c r="DJ56" s="41"/>
      <c r="DK56" s="41"/>
      <c r="DL56" s="41"/>
      <c r="DM56" s="41"/>
      <c r="DN56" s="41"/>
      <c r="DO56" s="43"/>
      <c r="DP56" s="43"/>
      <c r="DQ56" s="43"/>
      <c r="DR56" s="43"/>
      <c r="DS56" s="43"/>
      <c r="DT56" s="43"/>
      <c r="DV56" s="41"/>
      <c r="DW56" s="41"/>
      <c r="DX56" s="41"/>
      <c r="DY56" s="41"/>
      <c r="DZ56" s="41"/>
      <c r="EA56" s="43"/>
      <c r="EB56" s="43"/>
      <c r="EC56" s="43"/>
      <c r="ED56" s="43"/>
      <c r="EE56" s="43"/>
      <c r="EF56" s="43"/>
      <c r="EH56" s="41"/>
      <c r="EI56" s="41"/>
      <c r="EJ56" s="41"/>
      <c r="EK56" s="41"/>
      <c r="EL56" s="41"/>
      <c r="EM56" s="43"/>
      <c r="EN56" s="43"/>
      <c r="EO56" s="43"/>
      <c r="EP56" s="43"/>
      <c r="EQ56" s="43"/>
      <c r="ER56" s="43"/>
      <c r="ET56" s="41"/>
      <c r="EU56" s="41"/>
      <c r="EV56" s="41"/>
      <c r="EW56" s="41"/>
      <c r="EX56" s="41"/>
      <c r="EY56" s="43"/>
      <c r="EZ56" s="43"/>
      <c r="FA56" s="43"/>
      <c r="FB56" s="43"/>
      <c r="FC56" s="43"/>
      <c r="FD56" s="43"/>
      <c r="FF56" s="41"/>
      <c r="FG56" s="41"/>
      <c r="FH56" s="41"/>
      <c r="FI56" s="41"/>
      <c r="FJ56" s="41"/>
      <c r="FK56" s="43"/>
      <c r="FL56" s="43"/>
      <c r="FM56" s="43"/>
      <c r="FN56" s="43"/>
      <c r="FO56" s="43"/>
      <c r="FP56" s="43"/>
      <c r="FR56" s="41"/>
      <c r="FS56" s="41"/>
      <c r="FT56" s="41"/>
      <c r="FU56" s="41"/>
      <c r="FV56" s="41"/>
      <c r="FW56" s="43"/>
      <c r="FX56" s="43"/>
      <c r="FY56" s="43"/>
      <c r="FZ56" s="43"/>
      <c r="GA56" s="43"/>
      <c r="GB56" s="43"/>
      <c r="GD56" s="41"/>
      <c r="GE56" s="41"/>
      <c r="GF56" s="41"/>
      <c r="GG56" s="41"/>
      <c r="GH56" s="41"/>
      <c r="GI56" s="41"/>
      <c r="GJ56" s="43"/>
      <c r="GK56" s="43"/>
      <c r="GL56" s="43"/>
      <c r="GM56" s="43"/>
      <c r="GN56" s="43"/>
      <c r="GO56" s="43"/>
      <c r="GQ56" s="41"/>
      <c r="GR56" s="41"/>
      <c r="GS56" s="41"/>
      <c r="GT56" s="41"/>
      <c r="GU56" s="41"/>
      <c r="GV56" s="43"/>
      <c r="GW56" s="43"/>
      <c r="GX56" s="43"/>
      <c r="GY56" s="43"/>
      <c r="GZ56" s="43"/>
      <c r="HA56" s="43"/>
      <c r="HC56" s="41"/>
      <c r="HD56" s="41"/>
      <c r="HE56" s="41"/>
      <c r="HF56" s="41"/>
      <c r="HG56" s="41"/>
      <c r="HH56" s="43"/>
      <c r="HI56" s="43"/>
      <c r="HJ56" s="43"/>
      <c r="HK56" s="43"/>
      <c r="HL56" s="43"/>
      <c r="HM56" s="43"/>
      <c r="HO56" s="41"/>
      <c r="HP56" s="41"/>
      <c r="HQ56" s="41"/>
      <c r="HR56" s="41"/>
      <c r="HS56" s="41"/>
      <c r="HT56" s="43"/>
      <c r="HU56" s="43"/>
      <c r="HV56" s="43"/>
      <c r="HW56" s="43"/>
      <c r="HX56" s="43"/>
      <c r="HY56" s="43"/>
      <c r="IA56" s="41"/>
      <c r="IB56" s="41"/>
      <c r="IC56" s="41"/>
      <c r="ID56" s="41"/>
      <c r="IE56" s="41"/>
      <c r="IF56" s="43"/>
      <c r="IG56" s="43"/>
      <c r="IH56" s="43"/>
      <c r="II56" s="43"/>
      <c r="IJ56" s="43"/>
      <c r="IK56" s="43"/>
    </row>
    <row r="57" spans="2:251" ht="15" customHeight="1" x14ac:dyDescent="0.4">
      <c r="B57" s="273">
        <v>28</v>
      </c>
      <c r="C57" s="274">
        <f>고객요구사항도출표!C32</f>
        <v>0</v>
      </c>
      <c r="D57" s="40" t="s">
        <v>55</v>
      </c>
      <c r="E57" s="44"/>
      <c r="F57" s="44"/>
      <c r="G57" s="44"/>
      <c r="H57" s="44"/>
      <c r="I57" s="44"/>
      <c r="J57" s="44" t="str">
        <f>IF(AND(E57="*",OR(F58="*",G58="*",H58="*")), 1,"")</f>
        <v/>
      </c>
      <c r="K57" s="44" t="str">
        <f>IF(AND(E57="*",I58="*"),1,"")</f>
        <v/>
      </c>
      <c r="L57" s="44" t="str">
        <f>IF(AND(I58="*", OR(F57="*", G57="*",H57="*")),1,"")</f>
        <v/>
      </c>
      <c r="M57" s="44" t="str">
        <f>IF(AND(E58="*",OR(F57="*",G57="*",H57="*",I57="*")),1,IF(AND(I57="*",OR(E58="*",F58="*",G58="*",H58="*")),1,""))</f>
        <v/>
      </c>
      <c r="N57" s="44" t="str">
        <f>IF(AND(F57="*",OR(F58="*",G58="*",H58="*")),1,IF(AND(G57="*",OR(F58="*",G58="*",H58="*")),1,IF(AND(H57="*",OR(F58="*",G58="*",H58="*")),1,"")))</f>
        <v/>
      </c>
      <c r="O57" s="44" t="str">
        <f>IF(AND(E57="*",E58="*"),1,"")</f>
        <v/>
      </c>
      <c r="Q57" s="44"/>
      <c r="R57" s="44"/>
      <c r="S57" s="44"/>
      <c r="T57" s="44"/>
      <c r="U57" s="44"/>
      <c r="V57" s="44" t="str">
        <f>IF(AND(Q57="*",OR(R58="*",S58="*",T58="*")), 1,"")</f>
        <v/>
      </c>
      <c r="W57" s="44" t="str">
        <f>IF(AND(Q57="*",U58="*"),1,"")</f>
        <v/>
      </c>
      <c r="X57" s="44" t="str">
        <f>IF(AND(U58="*", OR(R57="*", S57="*",T57="*")),1,"")</f>
        <v/>
      </c>
      <c r="Y57" s="44" t="str">
        <f>IF(AND(Q58="*",OR(R57="*",S57="*",T57="*",U57="*")),1,IF(AND(U57="*",OR(Q58="*",R58="*",S58="*",T58="*")),1,""))</f>
        <v/>
      </c>
      <c r="Z57" s="44" t="str">
        <f>IF(AND(R57="*",OR(R58="*",S58="*",T58="*")),1,IF(AND(S57="*",OR(R58="*",S58="*",T58="*")),1,IF(AND(T57="*",OR(R58="*",S58="*",T58="*")),1,"")))</f>
        <v/>
      </c>
      <c r="AA57" s="44" t="str">
        <f>IF(AND(Q57="*",Q58="*"),1,"")</f>
        <v/>
      </c>
      <c r="AC57" s="44"/>
      <c r="AD57" s="44"/>
      <c r="AE57" s="44"/>
      <c r="AF57" s="44"/>
      <c r="AG57" s="44"/>
      <c r="AH57" s="44" t="str">
        <f>IF(AND(AC57="*",OR(AD58="*",AE58="*",AF58="*")), 1,"")</f>
        <v/>
      </c>
      <c r="AI57" s="44" t="str">
        <f>IF(AND(AC57="*",AG58="*"),1,"")</f>
        <v/>
      </c>
      <c r="AJ57" s="44" t="str">
        <f>IF(AND(AG58="*", OR(AD57="*", AE57="*",AF57="*")),1,"")</f>
        <v/>
      </c>
      <c r="AK57" s="44" t="str">
        <f>IF(AND(AC58="*",OR(AD57="*",AE57="*",AF57="*",AG57="*")),1,IF(AND(AG57="*",OR(AC58="*",AD58="*",AE58="*",AF58="*")),1,""))</f>
        <v/>
      </c>
      <c r="AL57" s="44" t="str">
        <f>IF(AND(AD57="*",OR(AD58="*",AE58="*",AF58="*")),1,IF(AND(AE57="*",OR(AD58="*",AE58="*",AF58="*")),1,IF(AND(AF57="*",OR(AD58="*",AE58="*",AF58="*")),1,"")))</f>
        <v/>
      </c>
      <c r="AM57" s="44" t="str">
        <f>IF(AND(AC57="*",AC58="*"),1,"")</f>
        <v/>
      </c>
      <c r="AO57" s="44"/>
      <c r="AP57" s="44"/>
      <c r="AQ57" s="44"/>
      <c r="AR57" s="44"/>
      <c r="AS57" s="44"/>
      <c r="AT57" s="44" t="str">
        <f>IF(AND(AO57="*",OR(AP58="*",AQ58="*",AR58="*")), 1,"")</f>
        <v/>
      </c>
      <c r="AU57" s="44" t="str">
        <f>IF(AND(AO57="*",AS58="*"),1,"")</f>
        <v/>
      </c>
      <c r="AV57" s="44" t="str">
        <f>IF(AND(AS58="*", OR(AP57="*", AQ57="*",AR57="*")),1,"")</f>
        <v/>
      </c>
      <c r="AW57" s="44" t="str">
        <f>IF(AND(AO58="*",OR(AP57="*",AQ57="*",AR57="*",AS57="*")),1,IF(AND(AS57="*",OR(AO58="*",AP58="*",AQ58="*",AR58="*")),1,""))</f>
        <v/>
      </c>
      <c r="AX57" s="44" t="str">
        <f>IF(AND(AP57="*",OR(AP58="*",AQ58="*",AR58="*")),1,IF(AND(AQ57="*",OR(AP58="*",AQ58="*",AR58="*")),1,IF(AND(AR57="*",OR(AP58="*",AQ58="*",AR58="*")),1,"")))</f>
        <v/>
      </c>
      <c r="AY57" s="44" t="str">
        <f>IF(AND(AO57="*",AO58="*"),1,"")</f>
        <v/>
      </c>
      <c r="BA57" s="44"/>
      <c r="BB57" s="44"/>
      <c r="BC57" s="44"/>
      <c r="BD57" s="44"/>
      <c r="BE57" s="44"/>
      <c r="BF57" s="44" t="str">
        <f>IF(AND(BA57="*",OR(BB58="*",BC58="*",BD58="*")), 1,"")</f>
        <v/>
      </c>
      <c r="BG57" s="44" t="str">
        <f>IF(AND(BA57="*",BE58="*"),1,"")</f>
        <v/>
      </c>
      <c r="BH57" s="44" t="str">
        <f>IF(AND(BE58="*", OR(BB57="*", BC57="*",BD57="*")),1,"")</f>
        <v/>
      </c>
      <c r="BI57" s="44" t="str">
        <f>IF(AND(BA58="*",OR(BB57="*",BC57="*",BD57="*",BE57="*")),1,IF(AND(BE57="*",OR(BA58="*",BB58="*",BC58="*",BD58="*")),1,""))</f>
        <v/>
      </c>
      <c r="BJ57" s="44" t="str">
        <f>IF(AND(BB57="*",OR(BB58="*",BC58="*",BD58="*")),1,IF(AND(BC57="*",OR(BB58="*",BC58="*",BD58="*")),1,IF(AND(BD57="*",OR(BB58="*",BC58="*",BD58="*")),1,"")))</f>
        <v/>
      </c>
      <c r="BK57" s="44" t="str">
        <f>IF(AND(BA57="*",BA58="*"),1,"")</f>
        <v/>
      </c>
      <c r="BM57" s="44"/>
      <c r="BN57" s="44"/>
      <c r="BO57" s="44"/>
      <c r="BP57" s="44"/>
      <c r="BQ57" s="44"/>
      <c r="BR57" s="44"/>
      <c r="BS57" s="44" t="str">
        <f>IF(AND(BM57="*",OR(BN58="*",BO58="*",BP58="*")), 1,"")</f>
        <v/>
      </c>
      <c r="BT57" s="44" t="str">
        <f>IF(AND(BM57="*",BQ58="*"),1,"")</f>
        <v/>
      </c>
      <c r="BU57" s="44" t="str">
        <f>IF(AND(BQ58="*", OR(BN57="*", BO57="*",BP57="*")),1,"")</f>
        <v/>
      </c>
      <c r="BV57" s="44" t="str">
        <f>IF(AND(BM58="*",OR(BN57="*",BO57="*",BP57="*",BQ57="*")),1,IF(AND(BQ57="*",OR(BM58="*",BN58="*",BO58="*",BP58="*")),1,""))</f>
        <v/>
      </c>
      <c r="BW57" s="44" t="str">
        <f>IF(AND(BN57="*",OR(BN58="*",BO58="*",BP58="*")),1,IF(AND(BO57="*",OR(BN58="*",BO58="*",BP58="*")),1,IF(AND(BP57="*",OR(BN58="*",BO58="*",BP58="*")),1,"")))</f>
        <v/>
      </c>
      <c r="BX57" s="44" t="str">
        <f>IF(AND(BM57="*",BM58="*"),1,"")</f>
        <v/>
      </c>
      <c r="BZ57" s="44"/>
      <c r="CA57" s="44"/>
      <c r="CB57" s="44"/>
      <c r="CC57" s="44"/>
      <c r="CD57" s="44"/>
      <c r="CE57" s="44" t="str">
        <f>IF(AND(BZ57="*",OR(CA58="*",CB58="*",CC58="*")), 1,"")</f>
        <v/>
      </c>
      <c r="CF57" s="44" t="str">
        <f>IF(AND(BZ57="*",CD58="*"),1,"")</f>
        <v/>
      </c>
      <c r="CG57" s="44" t="str">
        <f>IF(AND(CD58="*", OR(CA57="*", CB57="*",CC57="*")),1,"")</f>
        <v/>
      </c>
      <c r="CH57" s="44" t="str">
        <f>IF(AND(BZ58="*",OR(CA57="*",CB57="*",CC57="*",CD57="*")),1,IF(AND(CD57="*",OR(BZ58="*",CA58="*",CB58="*",CC58="*")),1,""))</f>
        <v/>
      </c>
      <c r="CI57" s="44" t="str">
        <f>IF(AND(CA57="*",OR(CA58="*",CB58="*",CC58="*")),1,IF(AND(CB57="*",OR(CA58="*",CB58="*",CC58="*")),1,IF(AND(CC57="*",OR(CA58="*",CB58="*",CC58="*")),1,"")))</f>
        <v/>
      </c>
      <c r="CJ57" s="44" t="str">
        <f>IF(AND(BZ57="*",BZ58="*"),1,"")</f>
        <v/>
      </c>
      <c r="CL57" s="44"/>
      <c r="CM57" s="44"/>
      <c r="CN57" s="44"/>
      <c r="CO57" s="44"/>
      <c r="CP57" s="44"/>
      <c r="CQ57" s="44" t="str">
        <f>IF(AND(CL57="*",OR(CM58="*",CN58="*",CO58="*")), 1,"")</f>
        <v/>
      </c>
      <c r="CR57" s="44" t="str">
        <f>IF(AND(CL57="*",CP58="*"),1,"")</f>
        <v/>
      </c>
      <c r="CS57" s="44" t="str">
        <f>IF(AND(CP58="*", OR(CM57="*", CN57="*",CO57="*")),1,"")</f>
        <v/>
      </c>
      <c r="CT57" s="44" t="str">
        <f>IF(AND(CL58="*",OR(CM57="*",CN57="*",CO57="*",CP57="*")),1,IF(AND(CP57="*",OR(CL58="*",CM58="*",CN58="*",CO58="*")),1,""))</f>
        <v/>
      </c>
      <c r="CU57" s="44" t="str">
        <f>IF(AND(CM57="*",OR(CM58="*",CN58="*",CO58="*")),1,IF(AND(CN57="*",OR(CM58="*",CN58="*",CO58="*")),1,IF(AND(CO57="*",OR(CM58="*",CN58="*",CO58="*")),1,"")))</f>
        <v/>
      </c>
      <c r="CV57" s="44" t="str">
        <f>IF(AND(CL57="*",CL58="*"),1,"")</f>
        <v/>
      </c>
      <c r="CX57" s="44"/>
      <c r="CY57" s="44"/>
      <c r="CZ57" s="44"/>
      <c r="DA57" s="44"/>
      <c r="DB57" s="44"/>
      <c r="DC57" s="44" t="str">
        <f>IF(AND(CX57="*",OR(CY58="*",CZ58="*",DA58="*")), 1,"")</f>
        <v/>
      </c>
      <c r="DD57" s="44" t="str">
        <f>IF(AND(CX57="*",DB58="*"),1,"")</f>
        <v/>
      </c>
      <c r="DE57" s="44" t="str">
        <f>IF(AND(DB58="*", OR(CY57="*", CZ57="*",DA57="*")),1,"")</f>
        <v/>
      </c>
      <c r="DF57" s="44" t="str">
        <f>IF(AND(CX58="*",OR(CY57="*",CZ57="*",DA57="*",DB57="*")),1,IF(AND(DB57="*",OR(CX58="*",CY58="*",CZ58="*",DA58="*")),1,""))</f>
        <v/>
      </c>
      <c r="DG57" s="44" t="str">
        <f>IF(AND(CY57="*",OR(CY58="*",CZ58="*",DA58="*")),1,IF(AND(CZ57="*",OR(CY58="*",CZ58="*",DA58="*")),1,IF(AND(DA57="*",OR(CY58="*",CZ58="*",DA58="*")),1,"")))</f>
        <v/>
      </c>
      <c r="DH57" s="44" t="str">
        <f>IF(AND(CX57="*",CX58="*"),1,"")</f>
        <v/>
      </c>
      <c r="DJ57" s="44"/>
      <c r="DK57" s="44"/>
      <c r="DL57" s="44"/>
      <c r="DM57" s="44"/>
      <c r="DN57" s="44"/>
      <c r="DO57" s="44" t="str">
        <f>IF(AND(DJ57="*",OR(DK58="*",DL58="*",DM58="*")), 1,"")</f>
        <v/>
      </c>
      <c r="DP57" s="44" t="str">
        <f>IF(AND(DJ57="*",DN58="*"),1,"")</f>
        <v/>
      </c>
      <c r="DQ57" s="44" t="str">
        <f>IF(AND(DN58="*", OR(DK57="*", DL57="*",DM57="*")),1,"")</f>
        <v/>
      </c>
      <c r="DR57" s="44" t="str">
        <f>IF(AND(DJ58="*",OR(DK57="*",DL57="*",DM57="*",DN57="*")),1,IF(AND(DN57="*",OR(DJ58="*",DK58="*",DL58="*",DM58="*")),1,""))</f>
        <v/>
      </c>
      <c r="DS57" s="44" t="str">
        <f>IF(AND(DK57="*",OR(DK58="*",DL58="*",DM58="*")),1,IF(AND(DL57="*",OR(DK58="*",DL58="*",DM58="*")),1,IF(AND(DM57="*",OR(DK58="*",DL58="*",DM58="*")),1,"")))</f>
        <v/>
      </c>
      <c r="DT57" s="44" t="str">
        <f>IF(AND(DJ57="*",DJ58="*"),1,"")</f>
        <v/>
      </c>
      <c r="DV57" s="44"/>
      <c r="DW57" s="44"/>
      <c r="DX57" s="44"/>
      <c r="DY57" s="44"/>
      <c r="DZ57" s="44"/>
      <c r="EA57" s="44" t="str">
        <f>IF(AND(DV57="*",OR(DW58="*",DX58="*",DY58="*")), 1,"")</f>
        <v/>
      </c>
      <c r="EB57" s="44" t="str">
        <f>IF(AND(DV57="*",DZ58="*"),1,"")</f>
        <v/>
      </c>
      <c r="EC57" s="44" t="str">
        <f>IF(AND(DZ58="*", OR(DW57="*", DX57="*",DY57="*")),1,"")</f>
        <v/>
      </c>
      <c r="ED57" s="44" t="str">
        <f>IF(AND(DV58="*",OR(DW57="*",DX57="*",DY57="*",DZ57="*")),1,IF(AND(DZ57="*",OR(DV58="*",DW58="*",DX58="*",DY58="*")),1,""))</f>
        <v/>
      </c>
      <c r="EE57" s="44" t="str">
        <f>IF(AND(DW57="*",OR(DW58="*",DX58="*",DY58="*")),1,IF(AND(DX57="*",OR(DW58="*",DX58="*",DY58="*")),1,IF(AND(DY57="*",OR(DW58="*",DX58="*",DY58="*")),1,"")))</f>
        <v/>
      </c>
      <c r="EF57" s="44" t="str">
        <f>IF(AND(DV57="*",DV58="*"),1,"")</f>
        <v/>
      </c>
      <c r="EH57" s="44"/>
      <c r="EI57" s="44"/>
      <c r="EJ57" s="44"/>
      <c r="EK57" s="44"/>
      <c r="EL57" s="44"/>
      <c r="EM57" s="44" t="str">
        <f>IF(AND(EH57="*",OR(EI58="*",EJ58="*",EK58="*")), 1,"")</f>
        <v/>
      </c>
      <c r="EN57" s="44" t="str">
        <f>IF(AND(EH57="*",EL58="*"),1,"")</f>
        <v/>
      </c>
      <c r="EO57" s="44" t="str">
        <f>IF(AND(EL58="*", OR(EI57="*", EJ57="*",EK57="*")),1,"")</f>
        <v/>
      </c>
      <c r="EP57" s="44" t="str">
        <f>IF(AND(EH58="*",OR(EI57="*",EJ57="*",EK57="*",EL57="*")),1,IF(AND(EL57="*",OR(EH58="*",EI58="*",EJ58="*",EK58="*")),1,""))</f>
        <v/>
      </c>
      <c r="EQ57" s="44" t="str">
        <f>IF(AND(EI57="*",OR(EI58="*",EJ58="*",EK58="*")),1,IF(AND(EJ57="*",OR(EI58="*",EJ58="*",EK58="*")),1,IF(AND(EK57="*",OR(EI58="*",EJ58="*",EK58="*")),1,"")))</f>
        <v/>
      </c>
      <c r="ER57" s="44" t="str">
        <f>IF(AND(EH57="*",EH58="*"),1,"")</f>
        <v/>
      </c>
      <c r="ET57" s="44"/>
      <c r="EU57" s="44"/>
      <c r="EV57" s="44"/>
      <c r="EW57" s="44"/>
      <c r="EX57" s="44"/>
      <c r="EY57" s="44" t="str">
        <f>IF(AND(ET57="*",OR(EU58="*",EV58="*",EW58="*")), 1,"")</f>
        <v/>
      </c>
      <c r="EZ57" s="44" t="str">
        <f>IF(AND(ET57="*",EX58="*"),1,"")</f>
        <v/>
      </c>
      <c r="FA57" s="44" t="str">
        <f>IF(AND(EX58="*", OR(EU57="*", EV57="*",EW57="*")),1,"")</f>
        <v/>
      </c>
      <c r="FB57" s="44" t="str">
        <f>IF(AND(ET58="*",OR(EU57="*",EV57="*",EW57="*",EX57="*")),1,IF(AND(EX57="*",OR(ET58="*",EU58="*",EV58="*",EW58="*")),1,""))</f>
        <v/>
      </c>
      <c r="FC57" s="44" t="str">
        <f>IF(AND(EU57="*",OR(EU58="*",EV58="*",EW58="*")),1,IF(AND(EV57="*",OR(EU58="*",EV58="*",EW58="*")),1,IF(AND(EW57="*",OR(EU58="*",EV58="*",EW58="*")),1,"")))</f>
        <v/>
      </c>
      <c r="FD57" s="44" t="str">
        <f>IF(AND(ET57="*",ET58="*"),1,"")</f>
        <v/>
      </c>
      <c r="FF57" s="44"/>
      <c r="FG57" s="44"/>
      <c r="FH57" s="44"/>
      <c r="FI57" s="44"/>
      <c r="FJ57" s="44"/>
      <c r="FK57" s="44" t="str">
        <f>IF(AND(FF57="*",OR(FG58="*",FH58="*",FI58="*")), 1,"")</f>
        <v/>
      </c>
      <c r="FL57" s="44" t="str">
        <f>IF(AND(FF57="*",FJ58="*"),1,"")</f>
        <v/>
      </c>
      <c r="FM57" s="44" t="str">
        <f>IF(AND(FJ58="*", OR(FG57="*", FH57="*",FI57="*")),1,"")</f>
        <v/>
      </c>
      <c r="FN57" s="44" t="str">
        <f>IF(AND(FF58="*",OR(FG57="*",FH57="*",FI57="*",FJ57="*")),1,IF(AND(FJ57="*",OR(FF58="*",FG58="*",FH58="*",FI58="*")),1,""))</f>
        <v/>
      </c>
      <c r="FO57" s="44" t="str">
        <f>IF(AND(FG57="*",OR(FG58="*",FH58="*",FI58="*")),1,IF(AND(FH57="*",OR(FG58="*",FH58="*",FI58="*")),1,IF(AND(FI57="*",OR(FG58="*",FH58="*",FI58="*")),1,"")))</f>
        <v/>
      </c>
      <c r="FP57" s="44" t="str">
        <f>IF(AND(FF57="*",FF58="*"),1,"")</f>
        <v/>
      </c>
      <c r="FR57" s="44"/>
      <c r="FS57" s="44"/>
      <c r="FT57" s="44"/>
      <c r="FU57" s="44"/>
      <c r="FV57" s="44"/>
      <c r="FW57" s="44" t="str">
        <f>IF(AND(FR57="*",OR(FS58="*",FT58="*",FU58="*")), 1,"")</f>
        <v/>
      </c>
      <c r="FX57" s="44" t="str">
        <f>IF(AND(FR57="*",FV58="*"),1,"")</f>
        <v/>
      </c>
      <c r="FY57" s="44" t="str">
        <f>IF(AND(FV58="*", OR(FS57="*", FT57="*",FU57="*")),1,"")</f>
        <v/>
      </c>
      <c r="FZ57" s="44" t="str">
        <f>IF(AND(FR58="*",OR(FS57="*",FT57="*",FU57="*",FV57="*")),1,IF(AND(FV57="*",OR(FR58="*",FS58="*",FT58="*",FU58="*")),1,""))</f>
        <v/>
      </c>
      <c r="GA57" s="44" t="str">
        <f>IF(AND(FS57="*",OR(FS58="*",FT58="*",FU58="*")),1,IF(AND(FT57="*",OR(FS58="*",FT58="*",FU58="*")),1,IF(AND(FU57="*",OR(FS58="*",FT58="*",FU58="*")),1,"")))</f>
        <v/>
      </c>
      <c r="GB57" s="44" t="str">
        <f>IF(AND(FR57="*",FR58="*"),1,"")</f>
        <v/>
      </c>
      <c r="GD57" s="44"/>
      <c r="GE57" s="44"/>
      <c r="GF57" s="44"/>
      <c r="GG57" s="44"/>
      <c r="GH57" s="44"/>
      <c r="GI57" s="44"/>
      <c r="GJ57" s="44" t="str">
        <f>IF(AND(GD57="*",OR(GE58="*",GF58="*",GG58="*")), 1,"")</f>
        <v/>
      </c>
      <c r="GK57" s="44" t="str">
        <f>IF(AND(GD57="*",GH58="*"),1,"")</f>
        <v/>
      </c>
      <c r="GL57" s="44" t="str">
        <f>IF(AND(GH58="*", OR(GE57="*", GF57="*",GG57="*")),1,"")</f>
        <v/>
      </c>
      <c r="GM57" s="44" t="str">
        <f>IF(AND(GD58="*",OR(GE57="*",GF57="*",GG57="*",GH57="*")),1,IF(AND(GH57="*",OR(GD58="*",GE58="*",GF58="*",GG58="*")),1,""))</f>
        <v/>
      </c>
      <c r="GN57" s="44" t="str">
        <f>IF(AND(GE57="*",OR(GE58="*",GF58="*",GG58="*")),1,IF(AND(GF57="*",OR(GE58="*",GF58="*",GG58="*")),1,IF(AND(GG57="*",OR(GE58="*",GF58="*",GG58="*")),1,"")))</f>
        <v/>
      </c>
      <c r="GO57" s="44" t="str">
        <f>IF(AND(GD57="*",GD58="*"),1,"")</f>
        <v/>
      </c>
      <c r="GQ57" s="44"/>
      <c r="GR57" s="44"/>
      <c r="GS57" s="44"/>
      <c r="GT57" s="44"/>
      <c r="GU57" s="44"/>
      <c r="GV57" s="44" t="str">
        <f>IF(AND(GQ57="*",OR(GR58="*",GS58="*",GT58="*")), 1,"")</f>
        <v/>
      </c>
      <c r="GW57" s="44" t="str">
        <f>IF(AND(GQ57="*",GU58="*"),1,"")</f>
        <v/>
      </c>
      <c r="GX57" s="44" t="str">
        <f>IF(AND(GU58="*", OR(GR57="*", GS57="*",GT57="*")),1,"")</f>
        <v/>
      </c>
      <c r="GY57" s="44" t="str">
        <f>IF(AND(GQ58="*",OR(GR57="*",GS57="*",GT57="*",GU57="*")),1,IF(AND(GU57="*",OR(GQ58="*",GR58="*",GS58="*",GT58="*")),1,""))</f>
        <v/>
      </c>
      <c r="GZ57" s="44" t="str">
        <f>IF(AND(GR57="*",OR(GR58="*",GS58="*",GT58="*")),1,IF(AND(GS57="*",OR(GR58="*",GS58="*",GT58="*")),1,IF(AND(GT57="*",OR(GR58="*",GS58="*",GT58="*")),1,"")))</f>
        <v/>
      </c>
      <c r="HA57" s="44" t="str">
        <f>IF(AND(GQ57="*",GQ58="*"),1,"")</f>
        <v/>
      </c>
      <c r="HC57" s="44"/>
      <c r="HD57" s="44"/>
      <c r="HE57" s="44"/>
      <c r="HF57" s="44"/>
      <c r="HG57" s="44"/>
      <c r="HH57" s="44" t="str">
        <f>IF(AND(HC57="*",OR(HD58="*",HE58="*",HF58="*")), 1,"")</f>
        <v/>
      </c>
      <c r="HI57" s="44" t="str">
        <f>IF(AND(HC57="*",HG58="*"),1,"")</f>
        <v/>
      </c>
      <c r="HJ57" s="44" t="str">
        <f>IF(AND(HG58="*", OR(HD57="*", HE57="*",HF57="*")),1,"")</f>
        <v/>
      </c>
      <c r="HK57" s="44" t="str">
        <f>IF(AND(HC58="*",OR(HD57="*",HE57="*",HF57="*",HG57="*")),1,IF(AND(HG57="*",OR(HC58="*",HD58="*",HE58="*",HF58="*")),1,""))</f>
        <v/>
      </c>
      <c r="HL57" s="44" t="str">
        <f>IF(AND(HD57="*",OR(HD58="*",HE58="*",HF58="*")),1,IF(AND(HE57="*",OR(HD58="*",HE58="*",HF58="*")),1,IF(AND(HF57="*",OR(HD58="*",HE58="*",HF58="*")),1,"")))</f>
        <v/>
      </c>
      <c r="HM57" s="44" t="str">
        <f>IF(AND(HC57="*",HC58="*"),1,"")</f>
        <v/>
      </c>
      <c r="HO57" s="44"/>
      <c r="HP57" s="44"/>
      <c r="HQ57" s="44"/>
      <c r="HR57" s="44"/>
      <c r="HS57" s="44"/>
      <c r="HT57" s="44" t="str">
        <f>IF(AND(HO57="*",OR(HP58="*",HQ58="*",HR58="*")), 1,"")</f>
        <v/>
      </c>
      <c r="HU57" s="44" t="str">
        <f>IF(AND(HO57="*",HS58="*"),1,"")</f>
        <v/>
      </c>
      <c r="HV57" s="44" t="str">
        <f>IF(AND(HS58="*", OR(HP57="*", HQ57="*",HR57="*")),1,"")</f>
        <v/>
      </c>
      <c r="HW57" s="44" t="str">
        <f>IF(AND(HO58="*",OR(HP57="*",HQ57="*",HR57="*",HS57="*")),1,IF(AND(HS57="*",OR(HO58="*",HP58="*",HQ58="*",HR58="*")),1,""))</f>
        <v/>
      </c>
      <c r="HX57" s="44" t="str">
        <f>IF(AND(HP57="*",OR(HP58="*",HQ58="*",HR58="*")),1,IF(AND(HQ57="*",OR(HP58="*",HQ58="*",HR58="*")),1,IF(AND(HR57="*",OR(HP58="*",HQ58="*",HR58="*")),1,"")))</f>
        <v/>
      </c>
      <c r="HY57" s="44" t="str">
        <f>IF(AND(HO57="*",HO58="*"),1,"")</f>
        <v/>
      </c>
      <c r="IA57" s="44"/>
      <c r="IB57" s="44"/>
      <c r="IC57" s="44"/>
      <c r="ID57" s="44"/>
      <c r="IE57" s="44"/>
      <c r="IF57" s="44" t="str">
        <f>IF(AND(IA57="*",OR(IB58="*",IC58="*",ID58="*")), 1,"")</f>
        <v/>
      </c>
      <c r="IG57" s="44" t="str">
        <f>IF(AND(IA57="*",IE58="*"),1,"")</f>
        <v/>
      </c>
      <c r="IH57" s="44" t="str">
        <f>IF(AND(IE58="*", OR(IB57="*", IC57="*",ID57="*")),1,"")</f>
        <v/>
      </c>
      <c r="II57" s="44" t="str">
        <f>IF(AND(IA58="*",OR(IB57="*",IC57="*",ID57="*",IE57="*")),1,IF(AND(IE57="*",OR(IA58="*",IB58="*",IC58="*",ID58="*")),1,""))</f>
        <v/>
      </c>
      <c r="IJ57" s="44" t="str">
        <f>IF(AND(IB57="*",OR(IB58="*",IC58="*",ID58="*")),1,IF(AND(IC57="*",OR(IB58="*",IC58="*",ID58="*")),1,IF(AND(ID57="*",OR(IB58="*",IC58="*",ID58="*")),1,"")))</f>
        <v/>
      </c>
      <c r="IK57" s="44" t="str">
        <f>IF(AND(IA57="*",IA58="*"),1,"")</f>
        <v/>
      </c>
      <c r="IL57" s="44">
        <f>COUNT(J57,V57,AH57,AT57,BF57,BS57,CE57,CQ57,DC57,DO57,EA57,EM57,EY57,FK57,FW57,GJ57,GV57,HH57,HT57,IF57)</f>
        <v>0</v>
      </c>
      <c r="IM57" s="44">
        <f t="shared" ref="IM57:IQ57" si="27">COUNT(K57,W57,AI57,AU57,BG57,BT57,CF57,CR57,DD57,DP57,EB57,EN57,EZ57,FL57,FX57,GK57,GW57,HI57,HU57,IG57)</f>
        <v>0</v>
      </c>
      <c r="IN57" s="44">
        <f t="shared" si="27"/>
        <v>0</v>
      </c>
      <c r="IO57" s="44">
        <f t="shared" si="27"/>
        <v>0</v>
      </c>
      <c r="IP57" s="44">
        <f t="shared" si="27"/>
        <v>0</v>
      </c>
      <c r="IQ57" s="44">
        <f t="shared" si="27"/>
        <v>0</v>
      </c>
    </row>
    <row r="58" spans="2:251" ht="15" customHeight="1" x14ac:dyDescent="0.4">
      <c r="B58" s="273"/>
      <c r="C58" s="275"/>
      <c r="D58" s="42" t="s">
        <v>52</v>
      </c>
      <c r="E58" s="44"/>
      <c r="F58" s="44"/>
      <c r="G58" s="44"/>
      <c r="H58" s="44"/>
      <c r="I58" s="44"/>
      <c r="J58" s="43"/>
      <c r="K58" s="43"/>
      <c r="L58" s="43"/>
      <c r="M58" s="43"/>
      <c r="N58" s="43"/>
      <c r="O58" s="43"/>
      <c r="Q58" s="44"/>
      <c r="R58" s="44"/>
      <c r="S58" s="44"/>
      <c r="T58" s="44"/>
      <c r="U58" s="44"/>
      <c r="V58" s="43"/>
      <c r="W58" s="43"/>
      <c r="X58" s="43"/>
      <c r="Y58" s="43"/>
      <c r="Z58" s="43"/>
      <c r="AA58" s="43"/>
      <c r="AC58" s="44"/>
      <c r="AD58" s="44"/>
      <c r="AE58" s="44"/>
      <c r="AF58" s="44"/>
      <c r="AG58" s="44"/>
      <c r="AH58" s="43"/>
      <c r="AI58" s="43"/>
      <c r="AJ58" s="43"/>
      <c r="AK58" s="43"/>
      <c r="AL58" s="43"/>
      <c r="AM58" s="43"/>
      <c r="AO58" s="44"/>
      <c r="AP58" s="44"/>
      <c r="AQ58" s="44"/>
      <c r="AR58" s="44"/>
      <c r="AS58" s="44"/>
      <c r="AT58" s="43"/>
      <c r="AU58" s="43"/>
      <c r="AV58" s="43"/>
      <c r="AW58" s="43"/>
      <c r="AX58" s="43"/>
      <c r="AY58" s="43"/>
      <c r="BA58" s="44"/>
      <c r="BB58" s="44"/>
      <c r="BC58" s="44"/>
      <c r="BD58" s="44"/>
      <c r="BE58" s="44"/>
      <c r="BF58" s="43"/>
      <c r="BG58" s="43"/>
      <c r="BH58" s="43"/>
      <c r="BI58" s="43"/>
      <c r="BJ58" s="43"/>
      <c r="BK58" s="43"/>
      <c r="BM58" s="44"/>
      <c r="BN58" s="44"/>
      <c r="BO58" s="44"/>
      <c r="BP58" s="44"/>
      <c r="BQ58" s="44"/>
      <c r="BR58" s="44"/>
      <c r="BS58" s="43"/>
      <c r="BT58" s="43"/>
      <c r="BU58" s="43"/>
      <c r="BV58" s="43"/>
      <c r="BW58" s="43"/>
      <c r="BX58" s="43"/>
      <c r="BZ58" s="44"/>
      <c r="CA58" s="44"/>
      <c r="CB58" s="44"/>
      <c r="CC58" s="44"/>
      <c r="CD58" s="44"/>
      <c r="CE58" s="43"/>
      <c r="CF58" s="43"/>
      <c r="CG58" s="43"/>
      <c r="CH58" s="43"/>
      <c r="CI58" s="43"/>
      <c r="CJ58" s="43"/>
      <c r="CL58" s="44"/>
      <c r="CM58" s="44"/>
      <c r="CN58" s="44"/>
      <c r="CO58" s="44"/>
      <c r="CP58" s="44"/>
      <c r="CQ58" s="43"/>
      <c r="CR58" s="43"/>
      <c r="CS58" s="43"/>
      <c r="CT58" s="43"/>
      <c r="CU58" s="43"/>
      <c r="CV58" s="43"/>
      <c r="CX58" s="44"/>
      <c r="CY58" s="44"/>
      <c r="CZ58" s="44"/>
      <c r="DA58" s="44"/>
      <c r="DB58" s="44"/>
      <c r="DC58" s="43"/>
      <c r="DD58" s="43"/>
      <c r="DE58" s="43"/>
      <c r="DF58" s="43"/>
      <c r="DG58" s="43"/>
      <c r="DH58" s="43"/>
      <c r="DJ58" s="44"/>
      <c r="DK58" s="44"/>
      <c r="DL58" s="44"/>
      <c r="DM58" s="44"/>
      <c r="DN58" s="44"/>
      <c r="DO58" s="43"/>
      <c r="DP58" s="43"/>
      <c r="DQ58" s="43"/>
      <c r="DR58" s="43"/>
      <c r="DS58" s="43"/>
      <c r="DT58" s="43"/>
      <c r="DV58" s="44"/>
      <c r="DW58" s="44"/>
      <c r="DX58" s="44"/>
      <c r="DY58" s="44"/>
      <c r="DZ58" s="44"/>
      <c r="EA58" s="43"/>
      <c r="EB58" s="43"/>
      <c r="EC58" s="43"/>
      <c r="ED58" s="43"/>
      <c r="EE58" s="43"/>
      <c r="EF58" s="43"/>
      <c r="EH58" s="44"/>
      <c r="EI58" s="44"/>
      <c r="EJ58" s="44"/>
      <c r="EK58" s="44"/>
      <c r="EL58" s="44"/>
      <c r="EM58" s="43"/>
      <c r="EN58" s="43"/>
      <c r="EO58" s="43"/>
      <c r="EP58" s="43"/>
      <c r="EQ58" s="43"/>
      <c r="ER58" s="43"/>
      <c r="ET58" s="44"/>
      <c r="EU58" s="44"/>
      <c r="EV58" s="44"/>
      <c r="EW58" s="44"/>
      <c r="EX58" s="44"/>
      <c r="EY58" s="43"/>
      <c r="EZ58" s="43"/>
      <c r="FA58" s="43"/>
      <c r="FB58" s="43"/>
      <c r="FC58" s="43"/>
      <c r="FD58" s="43"/>
      <c r="FF58" s="44"/>
      <c r="FG58" s="44"/>
      <c r="FH58" s="44"/>
      <c r="FI58" s="44"/>
      <c r="FJ58" s="44"/>
      <c r="FK58" s="43"/>
      <c r="FL58" s="43"/>
      <c r="FM58" s="43"/>
      <c r="FN58" s="43"/>
      <c r="FO58" s="43"/>
      <c r="FP58" s="43"/>
      <c r="FR58" s="44"/>
      <c r="FS58" s="44"/>
      <c r="FT58" s="44"/>
      <c r="FU58" s="44"/>
      <c r="FV58" s="44"/>
      <c r="FW58" s="43"/>
      <c r="FX58" s="43"/>
      <c r="FY58" s="43"/>
      <c r="FZ58" s="43"/>
      <c r="GA58" s="43"/>
      <c r="GB58" s="43"/>
      <c r="GD58" s="44"/>
      <c r="GE58" s="44"/>
      <c r="GF58" s="44"/>
      <c r="GG58" s="44"/>
      <c r="GH58" s="44"/>
      <c r="GI58" s="44"/>
      <c r="GJ58" s="43"/>
      <c r="GK58" s="43"/>
      <c r="GL58" s="43"/>
      <c r="GM58" s="43"/>
      <c r="GN58" s="43"/>
      <c r="GO58" s="43"/>
      <c r="GQ58" s="44"/>
      <c r="GR58" s="44"/>
      <c r="GS58" s="44"/>
      <c r="GT58" s="44"/>
      <c r="GU58" s="44"/>
      <c r="GV58" s="43"/>
      <c r="GW58" s="43"/>
      <c r="GX58" s="43"/>
      <c r="GY58" s="43"/>
      <c r="GZ58" s="43"/>
      <c r="HA58" s="43"/>
      <c r="HC58" s="44"/>
      <c r="HD58" s="44"/>
      <c r="HE58" s="44"/>
      <c r="HF58" s="44"/>
      <c r="HG58" s="44"/>
      <c r="HH58" s="43"/>
      <c r="HI58" s="43"/>
      <c r="HJ58" s="43"/>
      <c r="HK58" s="43"/>
      <c r="HL58" s="43"/>
      <c r="HM58" s="43"/>
      <c r="HO58" s="44"/>
      <c r="HP58" s="44"/>
      <c r="HQ58" s="44"/>
      <c r="HR58" s="44"/>
      <c r="HS58" s="44"/>
      <c r="HT58" s="43"/>
      <c r="HU58" s="43"/>
      <c r="HV58" s="43"/>
      <c r="HW58" s="43"/>
      <c r="HX58" s="43"/>
      <c r="HY58" s="43"/>
      <c r="IA58" s="44"/>
      <c r="IB58" s="44"/>
      <c r="IC58" s="44"/>
      <c r="ID58" s="44"/>
      <c r="IE58" s="44"/>
      <c r="IF58" s="43"/>
      <c r="IG58" s="43"/>
      <c r="IH58" s="43"/>
      <c r="II58" s="43"/>
      <c r="IJ58" s="43"/>
      <c r="IK58" s="43"/>
    </row>
    <row r="59" spans="2:251" ht="15" customHeight="1" x14ac:dyDescent="0.4">
      <c r="B59" s="276">
        <v>29</v>
      </c>
      <c r="C59" s="278">
        <f>고객요구사항도출표!C33</f>
        <v>0</v>
      </c>
      <c r="D59" s="40" t="s">
        <v>51</v>
      </c>
      <c r="E59" s="41"/>
      <c r="F59" s="41"/>
      <c r="G59" s="41"/>
      <c r="H59" s="41"/>
      <c r="I59" s="41"/>
      <c r="J59" s="41" t="str">
        <f>IF(AND(E59="*",OR(F60="*",G60="*",H60="*")), 1,"")</f>
        <v/>
      </c>
      <c r="K59" s="41" t="str">
        <f>IF(AND(E59="*",I60="*"),1,"")</f>
        <v/>
      </c>
      <c r="L59" s="41" t="str">
        <f>IF(AND(I60="*", OR(F59="*", G59="*",H59="*")),1,"")</f>
        <v/>
      </c>
      <c r="M59" s="41" t="str">
        <f>IF(AND(E60="*",OR(F59="*",G59="*",H59="*",I59="*")),1,IF(AND(I59="*",OR(E60="*",F60="*",G60="*",H60="*")),1,""))</f>
        <v/>
      </c>
      <c r="N59" s="41" t="str">
        <f>IF(AND(F59="*",OR(F60="*",G60="*",H60="*")),1,IF(AND(G59="*",OR(F60="*",G60="*",H60="*")),1,IF(AND(H59="*",OR(F60="*",G60="*",H60="*")),1,"")))</f>
        <v/>
      </c>
      <c r="O59" s="41" t="str">
        <f>IF(AND(E59="*",E60="*"),1,"")</f>
        <v/>
      </c>
      <c r="Q59" s="41"/>
      <c r="R59" s="41"/>
      <c r="S59" s="41"/>
      <c r="T59" s="41"/>
      <c r="U59" s="41"/>
      <c r="V59" s="41" t="str">
        <f>IF(AND(Q59="*",OR(R60="*",S60="*",T60="*")), 1,"")</f>
        <v/>
      </c>
      <c r="W59" s="41" t="str">
        <f>IF(AND(Q59="*",U60="*"),1,"")</f>
        <v/>
      </c>
      <c r="X59" s="41" t="str">
        <f>IF(AND(U60="*", OR(R59="*", S59="*",T59="*")),1,"")</f>
        <v/>
      </c>
      <c r="Y59" s="41" t="str">
        <f>IF(AND(Q60="*",OR(R59="*",S59="*",T59="*",U59="*")),1,IF(AND(U59="*",OR(Q60="*",R60="*",S60="*",T60="*")),1,""))</f>
        <v/>
      </c>
      <c r="Z59" s="41" t="str">
        <f>IF(AND(R59="*",OR(R60="*",S60="*",T60="*")),1,IF(AND(S59="*",OR(R60="*",S60="*",T60="*")),1,IF(AND(T59="*",OR(R60="*",S60="*",T60="*")),1,"")))</f>
        <v/>
      </c>
      <c r="AA59" s="41" t="str">
        <f>IF(AND(Q59="*",Q60="*"),1,"")</f>
        <v/>
      </c>
      <c r="AC59" s="41"/>
      <c r="AD59" s="41"/>
      <c r="AE59" s="41"/>
      <c r="AF59" s="41"/>
      <c r="AG59" s="41"/>
      <c r="AH59" s="41" t="str">
        <f>IF(AND(AC59="*",OR(AD60="*",AE60="*",AF60="*")), 1,"")</f>
        <v/>
      </c>
      <c r="AI59" s="41" t="str">
        <f>IF(AND(AC59="*",AG60="*"),1,"")</f>
        <v/>
      </c>
      <c r="AJ59" s="41" t="str">
        <f>IF(AND(AG60="*", OR(AD59="*", AE59="*",AF59="*")),1,"")</f>
        <v/>
      </c>
      <c r="AK59" s="41" t="str">
        <f>IF(AND(AC60="*",OR(AD59="*",AE59="*",AF59="*",AG59="*")),1,IF(AND(AG59="*",OR(AC60="*",AD60="*",AE60="*",AF60="*")),1,""))</f>
        <v/>
      </c>
      <c r="AL59" s="41" t="str">
        <f>IF(AND(AD59="*",OR(AD60="*",AE60="*",AF60="*")),1,IF(AND(AE59="*",OR(AD60="*",AE60="*",AF60="*")),1,IF(AND(AF59="*",OR(AD60="*",AE60="*",AF60="*")),1,"")))</f>
        <v/>
      </c>
      <c r="AM59" s="41" t="str">
        <f>IF(AND(AC59="*",AC60="*"),1,"")</f>
        <v/>
      </c>
      <c r="AO59" s="41"/>
      <c r="AP59" s="41"/>
      <c r="AQ59" s="41"/>
      <c r="AR59" s="41"/>
      <c r="AS59" s="41"/>
      <c r="AT59" s="41" t="str">
        <f>IF(AND(AO59="*",OR(AP60="*",AQ60="*",AR60="*")), 1,"")</f>
        <v/>
      </c>
      <c r="AU59" s="41" t="str">
        <f>IF(AND(AO59="*",AS60="*"),1,"")</f>
        <v/>
      </c>
      <c r="AV59" s="41" t="str">
        <f>IF(AND(AS60="*", OR(AP59="*", AQ59="*",AR59="*")),1,"")</f>
        <v/>
      </c>
      <c r="AW59" s="41" t="str">
        <f>IF(AND(AO60="*",OR(AP59="*",AQ59="*",AR59="*",AS59="*")),1,IF(AND(AS59="*",OR(AO60="*",AP60="*",AQ60="*",AR60="*")),1,""))</f>
        <v/>
      </c>
      <c r="AX59" s="41" t="str">
        <f>IF(AND(AP59="*",OR(AP60="*",AQ60="*",AR60="*")),1,IF(AND(AQ59="*",OR(AP60="*",AQ60="*",AR60="*")),1,IF(AND(AR59="*",OR(AP60="*",AQ60="*",AR60="*")),1,"")))</f>
        <v/>
      </c>
      <c r="AY59" s="41" t="str">
        <f>IF(AND(AO59="*",AO60="*"),1,"")</f>
        <v/>
      </c>
      <c r="BA59" s="41"/>
      <c r="BB59" s="41"/>
      <c r="BC59" s="41"/>
      <c r="BD59" s="41"/>
      <c r="BE59" s="41"/>
      <c r="BF59" s="41" t="str">
        <f>IF(AND(BA59="*",OR(BB60="*",BC60="*",BD60="*")), 1,"")</f>
        <v/>
      </c>
      <c r="BG59" s="41" t="str">
        <f>IF(AND(BA59="*",BE60="*"),1,"")</f>
        <v/>
      </c>
      <c r="BH59" s="41" t="str">
        <f>IF(AND(BE60="*", OR(BB59="*", BC59="*",BD59="*")),1,"")</f>
        <v/>
      </c>
      <c r="BI59" s="41" t="str">
        <f>IF(AND(BA60="*",OR(BB59="*",BC59="*",BD59="*",BE59="*")),1,IF(AND(BE59="*",OR(BA60="*",BB60="*",BC60="*",BD60="*")),1,""))</f>
        <v/>
      </c>
      <c r="BJ59" s="41" t="str">
        <f>IF(AND(BB59="*",OR(BB60="*",BC60="*",BD60="*")),1,IF(AND(BC59="*",OR(BB60="*",BC60="*",BD60="*")),1,IF(AND(BD59="*",OR(BB60="*",BC60="*",BD60="*")),1,"")))</f>
        <v/>
      </c>
      <c r="BK59" s="41" t="str">
        <f>IF(AND(BA59="*",BA60="*"),1,"")</f>
        <v/>
      </c>
      <c r="BM59" s="41"/>
      <c r="BN59" s="41"/>
      <c r="BO59" s="41"/>
      <c r="BP59" s="41"/>
      <c r="BQ59" s="41"/>
      <c r="BR59" s="41"/>
      <c r="BS59" s="41" t="str">
        <f>IF(AND(BM59="*",OR(BN60="*",BO60="*",BP60="*")), 1,"")</f>
        <v/>
      </c>
      <c r="BT59" s="41" t="str">
        <f>IF(AND(BM59="*",BQ60="*"),1,"")</f>
        <v/>
      </c>
      <c r="BU59" s="41" t="str">
        <f>IF(AND(BQ60="*", OR(BN59="*", BO59="*",BP59="*")),1,"")</f>
        <v/>
      </c>
      <c r="BV59" s="41" t="str">
        <f>IF(AND(BM60="*",OR(BN59="*",BO59="*",BP59="*",BQ59="*")),1,IF(AND(BQ59="*",OR(BM60="*",BN60="*",BO60="*",BP60="*")),1,""))</f>
        <v/>
      </c>
      <c r="BW59" s="41" t="str">
        <f>IF(AND(BN59="*",OR(BN60="*",BO60="*",BP60="*")),1,IF(AND(BO59="*",OR(BN60="*",BO60="*",BP60="*")),1,IF(AND(BP59="*",OR(BN60="*",BO60="*",BP60="*")),1,"")))</f>
        <v/>
      </c>
      <c r="BX59" s="41" t="str">
        <f>IF(AND(BM59="*",BM60="*"),1,"")</f>
        <v/>
      </c>
      <c r="BZ59" s="41"/>
      <c r="CA59" s="41"/>
      <c r="CB59" s="41"/>
      <c r="CC59" s="41"/>
      <c r="CD59" s="41"/>
      <c r="CE59" s="41" t="str">
        <f>IF(AND(BZ59="*",OR(CA60="*",CB60="*",CC60="*")), 1,"")</f>
        <v/>
      </c>
      <c r="CF59" s="41" t="str">
        <f>IF(AND(BZ59="*",CD60="*"),1,"")</f>
        <v/>
      </c>
      <c r="CG59" s="41" t="str">
        <f>IF(AND(CD60="*", OR(CA59="*", CB59="*",CC59="*")),1,"")</f>
        <v/>
      </c>
      <c r="CH59" s="41" t="str">
        <f>IF(AND(BZ60="*",OR(CA59="*",CB59="*",CC59="*",CD59="*")),1,IF(AND(CD59="*",OR(BZ60="*",CA60="*",CB60="*",CC60="*")),1,""))</f>
        <v/>
      </c>
      <c r="CI59" s="41" t="str">
        <f>IF(AND(CA59="*",OR(CA60="*",CB60="*",CC60="*")),1,IF(AND(CB59="*",OR(CA60="*",CB60="*",CC60="*")),1,IF(AND(CC59="*",OR(CA60="*",CB60="*",CC60="*")),1,"")))</f>
        <v/>
      </c>
      <c r="CJ59" s="41" t="str">
        <f>IF(AND(BZ59="*",BZ60="*"),1,"")</f>
        <v/>
      </c>
      <c r="CL59" s="41"/>
      <c r="CM59" s="41"/>
      <c r="CN59" s="41"/>
      <c r="CO59" s="41"/>
      <c r="CP59" s="41"/>
      <c r="CQ59" s="41" t="str">
        <f>IF(AND(CL59="*",OR(CM60="*",CN60="*",CO60="*")), 1,"")</f>
        <v/>
      </c>
      <c r="CR59" s="41" t="str">
        <f>IF(AND(CL59="*",CP60="*"),1,"")</f>
        <v/>
      </c>
      <c r="CS59" s="41" t="str">
        <f>IF(AND(CP60="*", OR(CM59="*", CN59="*",CO59="*")),1,"")</f>
        <v/>
      </c>
      <c r="CT59" s="41" t="str">
        <f>IF(AND(CL60="*",OR(CM59="*",CN59="*",CO59="*",CP59="*")),1,IF(AND(CP59="*",OR(CL60="*",CM60="*",CN60="*",CO60="*")),1,""))</f>
        <v/>
      </c>
      <c r="CU59" s="41" t="str">
        <f>IF(AND(CM59="*",OR(CM60="*",CN60="*",CO60="*")),1,IF(AND(CN59="*",OR(CM60="*",CN60="*",CO60="*")),1,IF(AND(CO59="*",OR(CM60="*",CN60="*",CO60="*")),1,"")))</f>
        <v/>
      </c>
      <c r="CV59" s="41" t="str">
        <f>IF(AND(CL59="*",CL60="*"),1,"")</f>
        <v/>
      </c>
      <c r="CX59" s="41"/>
      <c r="CY59" s="41"/>
      <c r="CZ59" s="41"/>
      <c r="DA59" s="41"/>
      <c r="DB59" s="41"/>
      <c r="DC59" s="41" t="str">
        <f>IF(AND(CX59="*",OR(CY60="*",CZ60="*",DA60="*")), 1,"")</f>
        <v/>
      </c>
      <c r="DD59" s="41" t="str">
        <f>IF(AND(CX59="*",DB60="*"),1,"")</f>
        <v/>
      </c>
      <c r="DE59" s="41" t="str">
        <f>IF(AND(DB60="*", OR(CY59="*", CZ59="*",DA59="*")),1,"")</f>
        <v/>
      </c>
      <c r="DF59" s="41" t="str">
        <f>IF(AND(CX60="*",OR(CY59="*",CZ59="*",DA59="*",DB59="*")),1,IF(AND(DB59="*",OR(CX60="*",CY60="*",CZ60="*",DA60="*")),1,""))</f>
        <v/>
      </c>
      <c r="DG59" s="41" t="str">
        <f>IF(AND(CY59="*",OR(CY60="*",CZ60="*",DA60="*")),1,IF(AND(CZ59="*",OR(CY60="*",CZ60="*",DA60="*")),1,IF(AND(DA59="*",OR(CY60="*",CZ60="*",DA60="*")),1,"")))</f>
        <v/>
      </c>
      <c r="DH59" s="41" t="str">
        <f>IF(AND(CX59="*",CX60="*"),1,"")</f>
        <v/>
      </c>
      <c r="DJ59" s="41"/>
      <c r="DK59" s="41"/>
      <c r="DL59" s="41"/>
      <c r="DM59" s="41"/>
      <c r="DN59" s="41"/>
      <c r="DO59" s="41" t="str">
        <f>IF(AND(DJ59="*",OR(DK60="*",DL60="*",DM60="*")), 1,"")</f>
        <v/>
      </c>
      <c r="DP59" s="41" t="str">
        <f>IF(AND(DJ59="*",DN60="*"),1,"")</f>
        <v/>
      </c>
      <c r="DQ59" s="41" t="str">
        <f>IF(AND(DN60="*", OR(DK59="*", DL59="*",DM59="*")),1,"")</f>
        <v/>
      </c>
      <c r="DR59" s="41" t="str">
        <f>IF(AND(DJ60="*",OR(DK59="*",DL59="*",DM59="*",DN59="*")),1,IF(AND(DN59="*",OR(DJ60="*",DK60="*",DL60="*",DM60="*")),1,""))</f>
        <v/>
      </c>
      <c r="DS59" s="41" t="str">
        <f>IF(AND(DK59="*",OR(DK60="*",DL60="*",DM60="*")),1,IF(AND(DL59="*",OR(DK60="*",DL60="*",DM60="*")),1,IF(AND(DM59="*",OR(DK60="*",DL60="*",DM60="*")),1,"")))</f>
        <v/>
      </c>
      <c r="DT59" s="41" t="str">
        <f>IF(AND(DJ59="*",DJ60="*"),1,"")</f>
        <v/>
      </c>
      <c r="DV59" s="41"/>
      <c r="DW59" s="41"/>
      <c r="DX59" s="41"/>
      <c r="DY59" s="41"/>
      <c r="DZ59" s="41"/>
      <c r="EA59" s="41" t="str">
        <f>IF(AND(DV59="*",OR(DW60="*",DX60="*",DY60="*")), 1,"")</f>
        <v/>
      </c>
      <c r="EB59" s="41" t="str">
        <f>IF(AND(DV59="*",DZ60="*"),1,"")</f>
        <v/>
      </c>
      <c r="EC59" s="41" t="str">
        <f>IF(AND(DZ60="*", OR(DW59="*", DX59="*",DY59="*")),1,"")</f>
        <v/>
      </c>
      <c r="ED59" s="41" t="str">
        <f>IF(AND(DV60="*",OR(DW59="*",DX59="*",DY59="*",DZ59="*")),1,IF(AND(DZ59="*",OR(DV60="*",DW60="*",DX60="*",DY60="*")),1,""))</f>
        <v/>
      </c>
      <c r="EE59" s="41" t="str">
        <f>IF(AND(DW59="*",OR(DW60="*",DX60="*",DY60="*")),1,IF(AND(DX59="*",OR(DW60="*",DX60="*",DY60="*")),1,IF(AND(DY59="*",OR(DW60="*",DX60="*",DY60="*")),1,"")))</f>
        <v/>
      </c>
      <c r="EF59" s="41" t="str">
        <f>IF(AND(DV59="*",DV60="*"),1,"")</f>
        <v/>
      </c>
      <c r="EH59" s="41"/>
      <c r="EI59" s="41"/>
      <c r="EJ59" s="41"/>
      <c r="EK59" s="41"/>
      <c r="EL59" s="41"/>
      <c r="EM59" s="41" t="str">
        <f>IF(AND(EH59="*",OR(EI60="*",EJ60="*",EK60="*")), 1,"")</f>
        <v/>
      </c>
      <c r="EN59" s="41" t="str">
        <f>IF(AND(EH59="*",EL60="*"),1,"")</f>
        <v/>
      </c>
      <c r="EO59" s="41" t="str">
        <f>IF(AND(EL60="*", OR(EI59="*", EJ59="*",EK59="*")),1,"")</f>
        <v/>
      </c>
      <c r="EP59" s="41" t="str">
        <f>IF(AND(EH60="*",OR(EI59="*",EJ59="*",EK59="*",EL59="*")),1,IF(AND(EL59="*",OR(EH60="*",EI60="*",EJ60="*",EK60="*")),1,""))</f>
        <v/>
      </c>
      <c r="EQ59" s="41" t="str">
        <f>IF(AND(EI59="*",OR(EI60="*",EJ60="*",EK60="*")),1,IF(AND(EJ59="*",OR(EI60="*",EJ60="*",EK60="*")),1,IF(AND(EK59="*",OR(EI60="*",EJ60="*",EK60="*")),1,"")))</f>
        <v/>
      </c>
      <c r="ER59" s="41" t="str">
        <f>IF(AND(EH59="*",EH60="*"),1,"")</f>
        <v/>
      </c>
      <c r="ET59" s="41"/>
      <c r="EU59" s="41"/>
      <c r="EV59" s="41"/>
      <c r="EW59" s="41"/>
      <c r="EX59" s="41"/>
      <c r="EY59" s="41" t="str">
        <f>IF(AND(ET59="*",OR(EU60="*",EV60="*",EW60="*")), 1,"")</f>
        <v/>
      </c>
      <c r="EZ59" s="41" t="str">
        <f>IF(AND(ET59="*",EX60="*"),1,"")</f>
        <v/>
      </c>
      <c r="FA59" s="41" t="str">
        <f>IF(AND(EX60="*", OR(EU59="*", EV59="*",EW59="*")),1,"")</f>
        <v/>
      </c>
      <c r="FB59" s="41" t="str">
        <f>IF(AND(ET60="*",OR(EU59="*",EV59="*",EW59="*",EX59="*")),1,IF(AND(EX59="*",OR(ET60="*",EU60="*",EV60="*",EW60="*")),1,""))</f>
        <v/>
      </c>
      <c r="FC59" s="41" t="str">
        <f>IF(AND(EU59="*",OR(EU60="*",EV60="*",EW60="*")),1,IF(AND(EV59="*",OR(EU60="*",EV60="*",EW60="*")),1,IF(AND(EW59="*",OR(EU60="*",EV60="*",EW60="*")),1,"")))</f>
        <v/>
      </c>
      <c r="FD59" s="41" t="str">
        <f>IF(AND(ET59="*",ET60="*"),1,"")</f>
        <v/>
      </c>
      <c r="FF59" s="41"/>
      <c r="FG59" s="41"/>
      <c r="FH59" s="41"/>
      <c r="FI59" s="41"/>
      <c r="FJ59" s="41"/>
      <c r="FK59" s="41" t="str">
        <f>IF(AND(FF59="*",OR(FG60="*",FH60="*",FI60="*")), 1,"")</f>
        <v/>
      </c>
      <c r="FL59" s="41" t="str">
        <f>IF(AND(FF59="*",FJ60="*"),1,"")</f>
        <v/>
      </c>
      <c r="FM59" s="41" t="str">
        <f>IF(AND(FJ60="*", OR(FG59="*", FH59="*",FI59="*")),1,"")</f>
        <v/>
      </c>
      <c r="FN59" s="41" t="str">
        <f>IF(AND(FF60="*",OR(FG59="*",FH59="*",FI59="*",FJ59="*")),1,IF(AND(FJ59="*",OR(FF60="*",FG60="*",FH60="*",FI60="*")),1,""))</f>
        <v/>
      </c>
      <c r="FO59" s="41" t="str">
        <f>IF(AND(FG59="*",OR(FG60="*",FH60="*",FI60="*")),1,IF(AND(FH59="*",OR(FG60="*",FH60="*",FI60="*")),1,IF(AND(FI59="*",OR(FG60="*",FH60="*",FI60="*")),1,"")))</f>
        <v/>
      </c>
      <c r="FP59" s="41" t="str">
        <f>IF(AND(FF59="*",FF60="*"),1,"")</f>
        <v/>
      </c>
      <c r="FR59" s="41"/>
      <c r="FS59" s="41"/>
      <c r="FT59" s="41"/>
      <c r="FU59" s="41"/>
      <c r="FV59" s="41"/>
      <c r="FW59" s="41" t="str">
        <f>IF(AND(FR59="*",OR(FS60="*",FT60="*",FU60="*")), 1,"")</f>
        <v/>
      </c>
      <c r="FX59" s="41" t="str">
        <f>IF(AND(FR59="*",FV60="*"),1,"")</f>
        <v/>
      </c>
      <c r="FY59" s="41" t="str">
        <f>IF(AND(FV60="*", OR(FS59="*", FT59="*",FU59="*")),1,"")</f>
        <v/>
      </c>
      <c r="FZ59" s="41" t="str">
        <f>IF(AND(FR60="*",OR(FS59="*",FT59="*",FU59="*",FV59="*")),1,IF(AND(FV59="*",OR(FR60="*",FS60="*",FT60="*",FU60="*")),1,""))</f>
        <v/>
      </c>
      <c r="GA59" s="41" t="str">
        <f>IF(AND(FS59="*",OR(FS60="*",FT60="*",FU60="*")),1,IF(AND(FT59="*",OR(FS60="*",FT60="*",FU60="*")),1,IF(AND(FU59="*",OR(FS60="*",FT60="*",FU60="*")),1,"")))</f>
        <v/>
      </c>
      <c r="GB59" s="41" t="str">
        <f>IF(AND(FR59="*",FR60="*"),1,"")</f>
        <v/>
      </c>
      <c r="GD59" s="41"/>
      <c r="GE59" s="41"/>
      <c r="GF59" s="41"/>
      <c r="GG59" s="41"/>
      <c r="GH59" s="41"/>
      <c r="GI59" s="41"/>
      <c r="GJ59" s="41" t="str">
        <f>IF(AND(GD59="*",OR(GE60="*",GF60="*",GG60="*")), 1,"")</f>
        <v/>
      </c>
      <c r="GK59" s="41" t="str">
        <f>IF(AND(GD59="*",GH60="*"),1,"")</f>
        <v/>
      </c>
      <c r="GL59" s="41" t="str">
        <f>IF(AND(GH60="*", OR(GE59="*", GF59="*",GG59="*")),1,"")</f>
        <v/>
      </c>
      <c r="GM59" s="41" t="str">
        <f>IF(AND(GD60="*",OR(GE59="*",GF59="*",GG59="*",GH59="*")),1,IF(AND(GH59="*",OR(GD60="*",GE60="*",GF60="*",GG60="*")),1,""))</f>
        <v/>
      </c>
      <c r="GN59" s="41" t="str">
        <f>IF(AND(GE59="*",OR(GE60="*",GF60="*",GG60="*")),1,IF(AND(GF59="*",OR(GE60="*",GF60="*",GG60="*")),1,IF(AND(GG59="*",OR(GE60="*",GF60="*",GG60="*")),1,"")))</f>
        <v/>
      </c>
      <c r="GO59" s="41" t="str">
        <f>IF(AND(GD59="*",GD60="*"),1,"")</f>
        <v/>
      </c>
      <c r="GQ59" s="41"/>
      <c r="GR59" s="41"/>
      <c r="GS59" s="41"/>
      <c r="GT59" s="41"/>
      <c r="GU59" s="41"/>
      <c r="GV59" s="41" t="str">
        <f>IF(AND(GQ59="*",OR(GR60="*",GS60="*",GT60="*")), 1,"")</f>
        <v/>
      </c>
      <c r="GW59" s="41" t="str">
        <f>IF(AND(GQ59="*",GU60="*"),1,"")</f>
        <v/>
      </c>
      <c r="GX59" s="41" t="str">
        <f>IF(AND(GU60="*", OR(GR59="*", GS59="*",GT59="*")),1,"")</f>
        <v/>
      </c>
      <c r="GY59" s="41" t="str">
        <f>IF(AND(GQ60="*",OR(GR59="*",GS59="*",GT59="*",GU59="*")),1,IF(AND(GU59="*",OR(GQ60="*",GR60="*",GS60="*",GT60="*")),1,""))</f>
        <v/>
      </c>
      <c r="GZ59" s="41" t="str">
        <f>IF(AND(GR59="*",OR(GR60="*",GS60="*",GT60="*")),1,IF(AND(GS59="*",OR(GR60="*",GS60="*",GT60="*")),1,IF(AND(GT59="*",OR(GR60="*",GS60="*",GT60="*")),1,"")))</f>
        <v/>
      </c>
      <c r="HA59" s="41" t="str">
        <f>IF(AND(GQ59="*",GQ60="*"),1,"")</f>
        <v/>
      </c>
      <c r="HC59" s="41"/>
      <c r="HD59" s="41"/>
      <c r="HE59" s="41"/>
      <c r="HF59" s="41"/>
      <c r="HG59" s="41"/>
      <c r="HH59" s="41" t="str">
        <f>IF(AND(HC59="*",OR(HD60="*",HE60="*",HF60="*")), 1,"")</f>
        <v/>
      </c>
      <c r="HI59" s="41" t="str">
        <f>IF(AND(HC59="*",HG60="*"),1,"")</f>
        <v/>
      </c>
      <c r="HJ59" s="41" t="str">
        <f>IF(AND(HG60="*", OR(HD59="*", HE59="*",HF59="*")),1,"")</f>
        <v/>
      </c>
      <c r="HK59" s="41" t="str">
        <f>IF(AND(HC60="*",OR(HD59="*",HE59="*",HF59="*",HG59="*")),1,IF(AND(HG59="*",OR(HC60="*",HD60="*",HE60="*",HF60="*")),1,""))</f>
        <v/>
      </c>
      <c r="HL59" s="41" t="str">
        <f>IF(AND(HD59="*",OR(HD60="*",HE60="*",HF60="*")),1,IF(AND(HE59="*",OR(HD60="*",HE60="*",HF60="*")),1,IF(AND(HF59="*",OR(HD60="*",HE60="*",HF60="*")),1,"")))</f>
        <v/>
      </c>
      <c r="HM59" s="41" t="str">
        <f>IF(AND(HC59="*",HC60="*"),1,"")</f>
        <v/>
      </c>
      <c r="HO59" s="41"/>
      <c r="HP59" s="41"/>
      <c r="HQ59" s="41"/>
      <c r="HR59" s="41"/>
      <c r="HS59" s="41"/>
      <c r="HT59" s="41" t="str">
        <f>IF(AND(HO59="*",OR(HP60="*",HQ60="*",HR60="*")), 1,"")</f>
        <v/>
      </c>
      <c r="HU59" s="41" t="str">
        <f>IF(AND(HO59="*",HS60="*"),1,"")</f>
        <v/>
      </c>
      <c r="HV59" s="41" t="str">
        <f>IF(AND(HS60="*", OR(HP59="*", HQ59="*",HR59="*")),1,"")</f>
        <v/>
      </c>
      <c r="HW59" s="41" t="str">
        <f>IF(AND(HO60="*",OR(HP59="*",HQ59="*",HR59="*",HS59="*")),1,IF(AND(HS59="*",OR(HO60="*",HP60="*",HQ60="*",HR60="*")),1,""))</f>
        <v/>
      </c>
      <c r="HX59" s="41" t="str">
        <f>IF(AND(HP59="*",OR(HP60="*",HQ60="*",HR60="*")),1,IF(AND(HQ59="*",OR(HP60="*",HQ60="*",HR60="*")),1,IF(AND(HR59="*",OR(HP60="*",HQ60="*",HR60="*")),1,"")))</f>
        <v/>
      </c>
      <c r="HY59" s="41" t="str">
        <f>IF(AND(HO59="*",HO60="*"),1,"")</f>
        <v/>
      </c>
      <c r="IA59" s="41"/>
      <c r="IB59" s="41"/>
      <c r="IC59" s="41"/>
      <c r="ID59" s="41"/>
      <c r="IE59" s="41"/>
      <c r="IF59" s="41" t="str">
        <f>IF(AND(IA59="*",OR(IB60="*",IC60="*",ID60="*")), 1,"")</f>
        <v/>
      </c>
      <c r="IG59" s="41" t="str">
        <f>IF(AND(IA59="*",IE60="*"),1,"")</f>
        <v/>
      </c>
      <c r="IH59" s="41" t="str">
        <f>IF(AND(IE60="*", OR(IB59="*", IC59="*",ID59="*")),1,"")</f>
        <v/>
      </c>
      <c r="II59" s="41" t="str">
        <f>IF(AND(IA60="*",OR(IB59="*",IC59="*",ID59="*",IE59="*")),1,IF(AND(IE59="*",OR(IA60="*",IB60="*",IC60="*",ID60="*")),1,""))</f>
        <v/>
      </c>
      <c r="IJ59" s="41" t="str">
        <f>IF(AND(IB59="*",OR(IB60="*",IC60="*",ID60="*")),1,IF(AND(IC59="*",OR(IB60="*",IC60="*",ID60="*")),1,IF(AND(ID59="*",OR(IB60="*",IC60="*",ID60="*")),1,"")))</f>
        <v/>
      </c>
      <c r="IK59" s="41" t="str">
        <f>IF(AND(IA59="*",IA60="*"),1,"")</f>
        <v/>
      </c>
      <c r="IL59" s="41">
        <f>COUNT(J59,V59,AH59,AT59,BF59,BS59,CE59,CQ59,DC59,DO59,EA59,EM59,EY59,FK59,FW59,GJ59,GV59,HH59,HT59,IF59)</f>
        <v>0</v>
      </c>
      <c r="IM59" s="41">
        <f t="shared" ref="IM59:IQ59" si="28">COUNT(K59,W59,AI59,AU59,BG59,BT59,CF59,CR59,DD59,DP59,EB59,EN59,EZ59,FL59,FX59,GK59,GW59,HI59,HU59,IG59)</f>
        <v>0</v>
      </c>
      <c r="IN59" s="41">
        <f t="shared" si="28"/>
        <v>0</v>
      </c>
      <c r="IO59" s="41">
        <f t="shared" si="28"/>
        <v>0</v>
      </c>
      <c r="IP59" s="41">
        <f t="shared" si="28"/>
        <v>0</v>
      </c>
      <c r="IQ59" s="41">
        <f t="shared" si="28"/>
        <v>0</v>
      </c>
    </row>
    <row r="60" spans="2:251" ht="15" customHeight="1" x14ac:dyDescent="0.4">
      <c r="B60" s="277"/>
      <c r="C60" s="279"/>
      <c r="D60" s="42" t="s">
        <v>63</v>
      </c>
      <c r="E60" s="41"/>
      <c r="F60" s="41"/>
      <c r="G60" s="41"/>
      <c r="H60" s="41"/>
      <c r="I60" s="41"/>
      <c r="J60" s="43"/>
      <c r="K60" s="43"/>
      <c r="L60" s="43"/>
      <c r="M60" s="43"/>
      <c r="N60" s="43"/>
      <c r="O60" s="43"/>
      <c r="Q60" s="41"/>
      <c r="R60" s="41"/>
      <c r="S60" s="41"/>
      <c r="T60" s="41"/>
      <c r="U60" s="41"/>
      <c r="V60" s="43"/>
      <c r="W60" s="43"/>
      <c r="X60" s="43"/>
      <c r="Y60" s="43"/>
      <c r="Z60" s="43"/>
      <c r="AA60" s="43"/>
      <c r="AC60" s="41"/>
      <c r="AD60" s="41"/>
      <c r="AE60" s="41"/>
      <c r="AF60" s="41"/>
      <c r="AG60" s="41"/>
      <c r="AH60" s="43"/>
      <c r="AI60" s="43"/>
      <c r="AJ60" s="43"/>
      <c r="AK60" s="43"/>
      <c r="AL60" s="43"/>
      <c r="AM60" s="43"/>
      <c r="AO60" s="41"/>
      <c r="AP60" s="41"/>
      <c r="AQ60" s="41"/>
      <c r="AR60" s="41"/>
      <c r="AS60" s="41"/>
      <c r="AT60" s="43"/>
      <c r="AU60" s="43"/>
      <c r="AV60" s="43"/>
      <c r="AW60" s="43"/>
      <c r="AX60" s="43"/>
      <c r="AY60" s="43"/>
      <c r="BA60" s="41"/>
      <c r="BB60" s="41"/>
      <c r="BC60" s="41"/>
      <c r="BD60" s="41"/>
      <c r="BE60" s="41"/>
      <c r="BF60" s="43"/>
      <c r="BG60" s="43"/>
      <c r="BH60" s="43"/>
      <c r="BI60" s="43"/>
      <c r="BJ60" s="43"/>
      <c r="BK60" s="43"/>
      <c r="BM60" s="41"/>
      <c r="BN60" s="41"/>
      <c r="BO60" s="41"/>
      <c r="BP60" s="41"/>
      <c r="BQ60" s="41"/>
      <c r="BR60" s="41"/>
      <c r="BS60" s="43"/>
      <c r="BT60" s="43"/>
      <c r="BU60" s="43"/>
      <c r="BV60" s="43"/>
      <c r="BW60" s="43"/>
      <c r="BX60" s="43"/>
      <c r="BZ60" s="41"/>
      <c r="CA60" s="41"/>
      <c r="CB60" s="41"/>
      <c r="CC60" s="41"/>
      <c r="CD60" s="41"/>
      <c r="CE60" s="43"/>
      <c r="CF60" s="43"/>
      <c r="CG60" s="43"/>
      <c r="CH60" s="43"/>
      <c r="CI60" s="43"/>
      <c r="CJ60" s="43"/>
      <c r="CL60" s="41"/>
      <c r="CM60" s="41"/>
      <c r="CN60" s="41"/>
      <c r="CO60" s="41"/>
      <c r="CP60" s="41"/>
      <c r="CQ60" s="43"/>
      <c r="CR60" s="43"/>
      <c r="CS60" s="43"/>
      <c r="CT60" s="43"/>
      <c r="CU60" s="43"/>
      <c r="CV60" s="43"/>
      <c r="CX60" s="41"/>
      <c r="CY60" s="41"/>
      <c r="CZ60" s="41"/>
      <c r="DA60" s="41"/>
      <c r="DB60" s="41"/>
      <c r="DC60" s="43"/>
      <c r="DD60" s="43"/>
      <c r="DE60" s="43"/>
      <c r="DF60" s="43"/>
      <c r="DG60" s="43"/>
      <c r="DH60" s="43"/>
      <c r="DJ60" s="41"/>
      <c r="DK60" s="41"/>
      <c r="DL60" s="41"/>
      <c r="DM60" s="41"/>
      <c r="DN60" s="41"/>
      <c r="DO60" s="43"/>
      <c r="DP60" s="43"/>
      <c r="DQ60" s="43"/>
      <c r="DR60" s="43"/>
      <c r="DS60" s="43"/>
      <c r="DT60" s="43"/>
      <c r="DV60" s="41"/>
      <c r="DW60" s="41"/>
      <c r="DX60" s="41"/>
      <c r="DY60" s="41"/>
      <c r="DZ60" s="41"/>
      <c r="EA60" s="43"/>
      <c r="EB60" s="43"/>
      <c r="EC60" s="43"/>
      <c r="ED60" s="43"/>
      <c r="EE60" s="43"/>
      <c r="EF60" s="43"/>
      <c r="EH60" s="41"/>
      <c r="EI60" s="41"/>
      <c r="EJ60" s="41"/>
      <c r="EK60" s="41"/>
      <c r="EL60" s="41"/>
      <c r="EM60" s="43"/>
      <c r="EN60" s="43"/>
      <c r="EO60" s="43"/>
      <c r="EP60" s="43"/>
      <c r="EQ60" s="43"/>
      <c r="ER60" s="43"/>
      <c r="ET60" s="41"/>
      <c r="EU60" s="41"/>
      <c r="EV60" s="41"/>
      <c r="EW60" s="41"/>
      <c r="EX60" s="41"/>
      <c r="EY60" s="43"/>
      <c r="EZ60" s="43"/>
      <c r="FA60" s="43"/>
      <c r="FB60" s="43"/>
      <c r="FC60" s="43"/>
      <c r="FD60" s="43"/>
      <c r="FF60" s="41"/>
      <c r="FG60" s="41"/>
      <c r="FH60" s="41"/>
      <c r="FI60" s="41"/>
      <c r="FJ60" s="41"/>
      <c r="FK60" s="43"/>
      <c r="FL60" s="43"/>
      <c r="FM60" s="43"/>
      <c r="FN60" s="43"/>
      <c r="FO60" s="43"/>
      <c r="FP60" s="43"/>
      <c r="FR60" s="41"/>
      <c r="FS60" s="41"/>
      <c r="FT60" s="41"/>
      <c r="FU60" s="41"/>
      <c r="FV60" s="41"/>
      <c r="FW60" s="43"/>
      <c r="FX60" s="43"/>
      <c r="FY60" s="43"/>
      <c r="FZ60" s="43"/>
      <c r="GA60" s="43"/>
      <c r="GB60" s="43"/>
      <c r="GD60" s="41"/>
      <c r="GE60" s="41"/>
      <c r="GF60" s="41"/>
      <c r="GG60" s="41"/>
      <c r="GH60" s="41"/>
      <c r="GI60" s="41"/>
      <c r="GJ60" s="43"/>
      <c r="GK60" s="43"/>
      <c r="GL60" s="43"/>
      <c r="GM60" s="43"/>
      <c r="GN60" s="43"/>
      <c r="GO60" s="43"/>
      <c r="GQ60" s="41"/>
      <c r="GR60" s="41"/>
      <c r="GS60" s="41"/>
      <c r="GT60" s="41"/>
      <c r="GU60" s="41"/>
      <c r="GV60" s="43"/>
      <c r="GW60" s="43"/>
      <c r="GX60" s="43"/>
      <c r="GY60" s="43"/>
      <c r="GZ60" s="43"/>
      <c r="HA60" s="43"/>
      <c r="HC60" s="41"/>
      <c r="HD60" s="41"/>
      <c r="HE60" s="41"/>
      <c r="HF60" s="41"/>
      <c r="HG60" s="41"/>
      <c r="HH60" s="43"/>
      <c r="HI60" s="43"/>
      <c r="HJ60" s="43"/>
      <c r="HK60" s="43"/>
      <c r="HL60" s="43"/>
      <c r="HM60" s="43"/>
      <c r="HO60" s="41"/>
      <c r="HP60" s="41"/>
      <c r="HQ60" s="41"/>
      <c r="HR60" s="41"/>
      <c r="HS60" s="41"/>
      <c r="HT60" s="43"/>
      <c r="HU60" s="43"/>
      <c r="HV60" s="43"/>
      <c r="HW60" s="43"/>
      <c r="HX60" s="43"/>
      <c r="HY60" s="43"/>
      <c r="IA60" s="41"/>
      <c r="IB60" s="41"/>
      <c r="IC60" s="41"/>
      <c r="ID60" s="41"/>
      <c r="IE60" s="41"/>
      <c r="IF60" s="43"/>
      <c r="IG60" s="43"/>
      <c r="IH60" s="43"/>
      <c r="II60" s="43"/>
      <c r="IJ60" s="43"/>
      <c r="IK60" s="43"/>
    </row>
    <row r="61" spans="2:251" ht="15" customHeight="1" x14ac:dyDescent="0.4">
      <c r="B61" s="273">
        <v>30</v>
      </c>
      <c r="C61" s="274">
        <f>고객요구사항도출표!C62</f>
        <v>0</v>
      </c>
      <c r="D61" s="40" t="s">
        <v>55</v>
      </c>
      <c r="E61" s="44"/>
      <c r="F61" s="44"/>
      <c r="G61" s="44"/>
      <c r="H61" s="44"/>
      <c r="I61" s="44"/>
      <c r="J61" s="44" t="str">
        <f>IF(AND(E61="*",OR(F62="*",G62="*",H62="*")), 1,"")</f>
        <v/>
      </c>
      <c r="K61" s="44" t="str">
        <f>IF(AND(E61="*",I62="*"),1,"")</f>
        <v/>
      </c>
      <c r="L61" s="44" t="str">
        <f>IF(AND(I62="*", OR(F61="*", G61="*",H61="*")),1,"")</f>
        <v/>
      </c>
      <c r="M61" s="44" t="str">
        <f>IF(AND(E62="*",OR(F61="*",G61="*",H61="*",I61="*")),1,IF(AND(I61="*",OR(E62="*",F62="*",G62="*",H62="*")),1,""))</f>
        <v/>
      </c>
      <c r="N61" s="44" t="str">
        <f>IF(AND(F61="*",OR(F62="*",G62="*",H62="*")),1,IF(AND(G61="*",OR(F62="*",G62="*",H62="*")),1,IF(AND(H61="*",OR(F62="*",G62="*",H62="*")),1,"")))</f>
        <v/>
      </c>
      <c r="O61" s="44" t="str">
        <f>IF(AND(E61="*",E62="*"),1,"")</f>
        <v/>
      </c>
      <c r="Q61" s="44"/>
      <c r="R61" s="44"/>
      <c r="S61" s="44"/>
      <c r="T61" s="44"/>
      <c r="U61" s="44"/>
      <c r="V61" s="44" t="str">
        <f>IF(AND(Q61="*",OR(R62="*",S62="*",T62="*")), 1,"")</f>
        <v/>
      </c>
      <c r="W61" s="44" t="str">
        <f>IF(AND(Q61="*",U62="*"),1,"")</f>
        <v/>
      </c>
      <c r="X61" s="44" t="str">
        <f>IF(AND(U62="*", OR(R61="*", S61="*",T61="*")),1,"")</f>
        <v/>
      </c>
      <c r="Y61" s="44" t="str">
        <f>IF(AND(Q62="*",OR(R61="*",S61="*",T61="*",U61="*")),1,IF(AND(U61="*",OR(Q62="*",R62="*",S62="*",T62="*")),1,""))</f>
        <v/>
      </c>
      <c r="Z61" s="44" t="str">
        <f>IF(AND(R61="*",OR(R62="*",S62="*",T62="*")),1,IF(AND(S61="*",OR(R62="*",S62="*",T62="*")),1,IF(AND(T61="*",OR(R62="*",S62="*",T62="*")),1,"")))</f>
        <v/>
      </c>
      <c r="AA61" s="44" t="str">
        <f>IF(AND(Q61="*",Q62="*"),1,"")</f>
        <v/>
      </c>
      <c r="AC61" s="44"/>
      <c r="AD61" s="44"/>
      <c r="AE61" s="44"/>
      <c r="AF61" s="44"/>
      <c r="AG61" s="44"/>
      <c r="AH61" s="44" t="str">
        <f>IF(AND(AC61="*",OR(AD62="*",AE62="*",AF62="*")), 1,"")</f>
        <v/>
      </c>
      <c r="AI61" s="44" t="str">
        <f>IF(AND(AC61="*",AG62="*"),1,"")</f>
        <v/>
      </c>
      <c r="AJ61" s="44" t="str">
        <f>IF(AND(AG62="*", OR(AD61="*", AE61="*",AF61="*")),1,"")</f>
        <v/>
      </c>
      <c r="AK61" s="44" t="str">
        <f>IF(AND(AC62="*",OR(AD61="*",AE61="*",AF61="*",AG61="*")),1,IF(AND(AG61="*",OR(AC62="*",AD62="*",AE62="*",AF62="*")),1,""))</f>
        <v/>
      </c>
      <c r="AL61" s="44" t="str">
        <f>IF(AND(AD61="*",OR(AD62="*",AE62="*",AF62="*")),1,IF(AND(AE61="*",OR(AD62="*",AE62="*",AF62="*")),1,IF(AND(AF61="*",OR(AD62="*",AE62="*",AF62="*")),1,"")))</f>
        <v/>
      </c>
      <c r="AM61" s="44" t="str">
        <f>IF(AND(AC61="*",AC62="*"),1,"")</f>
        <v/>
      </c>
      <c r="AO61" s="44"/>
      <c r="AP61" s="44"/>
      <c r="AQ61" s="44"/>
      <c r="AR61" s="44"/>
      <c r="AS61" s="44"/>
      <c r="AT61" s="44" t="str">
        <f>IF(AND(AO61="*",OR(AP62="*",AQ62="*",AR62="*")), 1,"")</f>
        <v/>
      </c>
      <c r="AU61" s="44" t="str">
        <f>IF(AND(AO61="*",AS62="*"),1,"")</f>
        <v/>
      </c>
      <c r="AV61" s="44" t="str">
        <f>IF(AND(AS62="*", OR(AP61="*", AQ61="*",AR61="*")),1,"")</f>
        <v/>
      </c>
      <c r="AW61" s="44" t="str">
        <f>IF(AND(AO62="*",OR(AP61="*",AQ61="*",AR61="*",AS61="*")),1,IF(AND(AS61="*",OR(AO62="*",AP62="*",AQ62="*",AR62="*")),1,""))</f>
        <v/>
      </c>
      <c r="AX61" s="44" t="str">
        <f>IF(AND(AP61="*",OR(AP62="*",AQ62="*",AR62="*")),1,IF(AND(AQ61="*",OR(AP62="*",AQ62="*",AR62="*")),1,IF(AND(AR61="*",OR(AP62="*",AQ62="*",AR62="*")),1,"")))</f>
        <v/>
      </c>
      <c r="AY61" s="44" t="str">
        <f>IF(AND(AO61="*",AO62="*"),1,"")</f>
        <v/>
      </c>
      <c r="BA61" s="44"/>
      <c r="BB61" s="44"/>
      <c r="BC61" s="44"/>
      <c r="BD61" s="44"/>
      <c r="BE61" s="44"/>
      <c r="BF61" s="44" t="str">
        <f>IF(AND(BA61="*",OR(BB62="*",BC62="*",BD62="*")), 1,"")</f>
        <v/>
      </c>
      <c r="BG61" s="44" t="str">
        <f>IF(AND(BA61="*",BE62="*"),1,"")</f>
        <v/>
      </c>
      <c r="BH61" s="44" t="str">
        <f>IF(AND(BE62="*", OR(BB61="*", BC61="*",BD61="*")),1,"")</f>
        <v/>
      </c>
      <c r="BI61" s="44" t="str">
        <f>IF(AND(BA62="*",OR(BB61="*",BC61="*",BD61="*",BE61="*")),1,IF(AND(BE61="*",OR(BA62="*",BB62="*",BC62="*",BD62="*")),1,""))</f>
        <v/>
      </c>
      <c r="BJ61" s="44" t="str">
        <f>IF(AND(BB61="*",OR(BB62="*",BC62="*",BD62="*")),1,IF(AND(BC61="*",OR(BB62="*",BC62="*",BD62="*")),1,IF(AND(BD61="*",OR(BB62="*",BC62="*",BD62="*")),1,"")))</f>
        <v/>
      </c>
      <c r="BK61" s="44" t="str">
        <f>IF(AND(BA61="*",BA62="*"),1,"")</f>
        <v/>
      </c>
      <c r="BM61" s="44"/>
      <c r="BN61" s="44"/>
      <c r="BO61" s="44"/>
      <c r="BP61" s="44"/>
      <c r="BQ61" s="44"/>
      <c r="BR61" s="44"/>
      <c r="BS61" s="44" t="str">
        <f>IF(AND(BM61="*",OR(BN62="*",BO62="*",BP62="*")), 1,"")</f>
        <v/>
      </c>
      <c r="BT61" s="44" t="str">
        <f>IF(AND(BM61="*",BQ62="*"),1,"")</f>
        <v/>
      </c>
      <c r="BU61" s="44" t="str">
        <f>IF(AND(BQ62="*", OR(BN61="*", BO61="*",BP61="*")),1,"")</f>
        <v/>
      </c>
      <c r="BV61" s="44" t="str">
        <f>IF(AND(BM62="*",OR(BN61="*",BO61="*",BP61="*",BQ61="*")),1,IF(AND(BQ61="*",OR(BM62="*",BN62="*",BO62="*",BP62="*")),1,""))</f>
        <v/>
      </c>
      <c r="BW61" s="44" t="str">
        <f>IF(AND(BN61="*",OR(BN62="*",BO62="*",BP62="*")),1,IF(AND(BO61="*",OR(BN62="*",BO62="*",BP62="*")),1,IF(AND(BP61="*",OR(BN62="*",BO62="*",BP62="*")),1,"")))</f>
        <v/>
      </c>
      <c r="BX61" s="44" t="str">
        <f>IF(AND(BM61="*",BM62="*"),1,"")</f>
        <v/>
      </c>
      <c r="BZ61" s="44"/>
      <c r="CA61" s="44"/>
      <c r="CB61" s="44"/>
      <c r="CC61" s="44"/>
      <c r="CD61" s="44"/>
      <c r="CE61" s="44" t="str">
        <f>IF(AND(BZ61="*",OR(CA62="*",CB62="*",CC62="*")), 1,"")</f>
        <v/>
      </c>
      <c r="CF61" s="44" t="str">
        <f>IF(AND(BZ61="*",CD62="*"),1,"")</f>
        <v/>
      </c>
      <c r="CG61" s="44" t="str">
        <f>IF(AND(CD62="*", OR(CA61="*", CB61="*",CC61="*")),1,"")</f>
        <v/>
      </c>
      <c r="CH61" s="44" t="str">
        <f>IF(AND(BZ62="*",OR(CA61="*",CB61="*",CC61="*",CD61="*")),1,IF(AND(CD61="*",OR(BZ62="*",CA62="*",CB62="*",CC62="*")),1,""))</f>
        <v/>
      </c>
      <c r="CI61" s="44" t="str">
        <f>IF(AND(CA61="*",OR(CA62="*",CB62="*",CC62="*")),1,IF(AND(CB61="*",OR(CA62="*",CB62="*",CC62="*")),1,IF(AND(CC61="*",OR(CA62="*",CB62="*",CC62="*")),1,"")))</f>
        <v/>
      </c>
      <c r="CJ61" s="44" t="str">
        <f>IF(AND(BZ61="*",BZ62="*"),1,"")</f>
        <v/>
      </c>
      <c r="CL61" s="44"/>
      <c r="CM61" s="44"/>
      <c r="CN61" s="44"/>
      <c r="CO61" s="44"/>
      <c r="CP61" s="44"/>
      <c r="CQ61" s="44" t="str">
        <f>IF(AND(CL61="*",OR(CM62="*",CN62="*",CO62="*")), 1,"")</f>
        <v/>
      </c>
      <c r="CR61" s="44" t="str">
        <f>IF(AND(CL61="*",CP62="*"),1,"")</f>
        <v/>
      </c>
      <c r="CS61" s="44" t="str">
        <f>IF(AND(CP62="*", OR(CM61="*", CN61="*",CO61="*")),1,"")</f>
        <v/>
      </c>
      <c r="CT61" s="44" t="str">
        <f>IF(AND(CL62="*",OR(CM61="*",CN61="*",CO61="*",CP61="*")),1,IF(AND(CP61="*",OR(CL62="*",CM62="*",CN62="*",CO62="*")),1,""))</f>
        <v/>
      </c>
      <c r="CU61" s="44" t="str">
        <f>IF(AND(CM61="*",OR(CM62="*",CN62="*",CO62="*")),1,IF(AND(CN61="*",OR(CM62="*",CN62="*",CO62="*")),1,IF(AND(CO61="*",OR(CM62="*",CN62="*",CO62="*")),1,"")))</f>
        <v/>
      </c>
      <c r="CV61" s="44" t="str">
        <f>IF(AND(CL61="*",CL62="*"),1,"")</f>
        <v/>
      </c>
      <c r="CX61" s="44"/>
      <c r="CY61" s="44"/>
      <c r="CZ61" s="44"/>
      <c r="DA61" s="44"/>
      <c r="DB61" s="44"/>
      <c r="DC61" s="44" t="str">
        <f>IF(AND(CX61="*",OR(CY62="*",CZ62="*",DA62="*")), 1,"")</f>
        <v/>
      </c>
      <c r="DD61" s="44" t="str">
        <f>IF(AND(CX61="*",DB62="*"),1,"")</f>
        <v/>
      </c>
      <c r="DE61" s="44" t="str">
        <f>IF(AND(DB62="*", OR(CY61="*", CZ61="*",DA61="*")),1,"")</f>
        <v/>
      </c>
      <c r="DF61" s="44" t="str">
        <f>IF(AND(CX62="*",OR(CY61="*",CZ61="*",DA61="*",DB61="*")),1,IF(AND(DB61="*",OR(CX62="*",CY62="*",CZ62="*",DA62="*")),1,""))</f>
        <v/>
      </c>
      <c r="DG61" s="44" t="str">
        <f>IF(AND(CY61="*",OR(CY62="*",CZ62="*",DA62="*")),1,IF(AND(CZ61="*",OR(CY62="*",CZ62="*",DA62="*")),1,IF(AND(DA61="*",OR(CY62="*",CZ62="*",DA62="*")),1,"")))</f>
        <v/>
      </c>
      <c r="DH61" s="44" t="str">
        <f>IF(AND(CX61="*",CX62="*"),1,"")</f>
        <v/>
      </c>
      <c r="DJ61" s="44"/>
      <c r="DK61" s="44"/>
      <c r="DL61" s="44"/>
      <c r="DM61" s="44"/>
      <c r="DN61" s="44"/>
      <c r="DO61" s="44" t="str">
        <f>IF(AND(DJ61="*",OR(DK62="*",DL62="*",DM62="*")), 1,"")</f>
        <v/>
      </c>
      <c r="DP61" s="44" t="str">
        <f>IF(AND(DJ61="*",DN62="*"),1,"")</f>
        <v/>
      </c>
      <c r="DQ61" s="44" t="str">
        <f>IF(AND(DN62="*", OR(DK61="*", DL61="*",DM61="*")),1,"")</f>
        <v/>
      </c>
      <c r="DR61" s="44" t="str">
        <f>IF(AND(DJ62="*",OR(DK61="*",DL61="*",DM61="*",DN61="*")),1,IF(AND(DN61="*",OR(DJ62="*",DK62="*",DL62="*",DM62="*")),1,""))</f>
        <v/>
      </c>
      <c r="DS61" s="44" t="str">
        <f>IF(AND(DK61="*",OR(DK62="*",DL62="*",DM62="*")),1,IF(AND(DL61="*",OR(DK62="*",DL62="*",DM62="*")),1,IF(AND(DM61="*",OR(DK62="*",DL62="*",DM62="*")),1,"")))</f>
        <v/>
      </c>
      <c r="DT61" s="44" t="str">
        <f>IF(AND(DJ61="*",DJ62="*"),1,"")</f>
        <v/>
      </c>
      <c r="DV61" s="44"/>
      <c r="DW61" s="44"/>
      <c r="DX61" s="44"/>
      <c r="DY61" s="44"/>
      <c r="DZ61" s="44"/>
      <c r="EA61" s="44" t="str">
        <f>IF(AND(DV61="*",OR(DW62="*",DX62="*",DY62="*")), 1,"")</f>
        <v/>
      </c>
      <c r="EB61" s="44" t="str">
        <f>IF(AND(DV61="*",DZ62="*"),1,"")</f>
        <v/>
      </c>
      <c r="EC61" s="44" t="str">
        <f>IF(AND(DZ62="*", OR(DW61="*", DX61="*",DY61="*")),1,"")</f>
        <v/>
      </c>
      <c r="ED61" s="44" t="str">
        <f>IF(AND(DV62="*",OR(DW61="*",DX61="*",DY61="*",DZ61="*")),1,IF(AND(DZ61="*",OR(DV62="*",DW62="*",DX62="*",DY62="*")),1,""))</f>
        <v/>
      </c>
      <c r="EE61" s="44" t="str">
        <f>IF(AND(DW61="*",OR(DW62="*",DX62="*",DY62="*")),1,IF(AND(DX61="*",OR(DW62="*",DX62="*",DY62="*")),1,IF(AND(DY61="*",OR(DW62="*",DX62="*",DY62="*")),1,"")))</f>
        <v/>
      </c>
      <c r="EF61" s="44" t="str">
        <f>IF(AND(DV61="*",DV62="*"),1,"")</f>
        <v/>
      </c>
      <c r="EH61" s="44"/>
      <c r="EI61" s="44"/>
      <c r="EJ61" s="44"/>
      <c r="EK61" s="44"/>
      <c r="EL61" s="44"/>
      <c r="EM61" s="44" t="str">
        <f>IF(AND(EH61="*",OR(EI62="*",EJ62="*",EK62="*")), 1,"")</f>
        <v/>
      </c>
      <c r="EN61" s="44" t="str">
        <f>IF(AND(EH61="*",EL62="*"),1,"")</f>
        <v/>
      </c>
      <c r="EO61" s="44" t="str">
        <f>IF(AND(EL62="*", OR(EI61="*", EJ61="*",EK61="*")),1,"")</f>
        <v/>
      </c>
      <c r="EP61" s="44" t="str">
        <f>IF(AND(EH62="*",OR(EI61="*",EJ61="*",EK61="*",EL61="*")),1,IF(AND(EL61="*",OR(EH62="*",EI62="*",EJ62="*",EK62="*")),1,""))</f>
        <v/>
      </c>
      <c r="EQ61" s="44" t="str">
        <f>IF(AND(EI61="*",OR(EI62="*",EJ62="*",EK62="*")),1,IF(AND(EJ61="*",OR(EI62="*",EJ62="*",EK62="*")),1,IF(AND(EK61="*",OR(EI62="*",EJ62="*",EK62="*")),1,"")))</f>
        <v/>
      </c>
      <c r="ER61" s="44" t="str">
        <f>IF(AND(EH61="*",EH62="*"),1,"")</f>
        <v/>
      </c>
      <c r="ET61" s="44"/>
      <c r="EU61" s="44"/>
      <c r="EV61" s="44"/>
      <c r="EW61" s="44"/>
      <c r="EX61" s="44"/>
      <c r="EY61" s="44" t="str">
        <f>IF(AND(ET61="*",OR(EU62="*",EV62="*",EW62="*")), 1,"")</f>
        <v/>
      </c>
      <c r="EZ61" s="44" t="str">
        <f>IF(AND(ET61="*",EX62="*"),1,"")</f>
        <v/>
      </c>
      <c r="FA61" s="44" t="str">
        <f>IF(AND(EX62="*", OR(EU61="*", EV61="*",EW61="*")),1,"")</f>
        <v/>
      </c>
      <c r="FB61" s="44" t="str">
        <f>IF(AND(ET62="*",OR(EU61="*",EV61="*",EW61="*",EX61="*")),1,IF(AND(EX61="*",OR(ET62="*",EU62="*",EV62="*",EW62="*")),1,""))</f>
        <v/>
      </c>
      <c r="FC61" s="44" t="str">
        <f>IF(AND(EU61="*",OR(EU62="*",EV62="*",EW62="*")),1,IF(AND(EV61="*",OR(EU62="*",EV62="*",EW62="*")),1,IF(AND(EW61="*",OR(EU62="*",EV62="*",EW62="*")),1,"")))</f>
        <v/>
      </c>
      <c r="FD61" s="44" t="str">
        <f>IF(AND(ET61="*",ET62="*"),1,"")</f>
        <v/>
      </c>
      <c r="FF61" s="44"/>
      <c r="FG61" s="44"/>
      <c r="FH61" s="44"/>
      <c r="FI61" s="44"/>
      <c r="FJ61" s="44"/>
      <c r="FK61" s="44" t="str">
        <f>IF(AND(FF61="*",OR(FG62="*",FH62="*",FI62="*")), 1,"")</f>
        <v/>
      </c>
      <c r="FL61" s="44" t="str">
        <f>IF(AND(FF61="*",FJ62="*"),1,"")</f>
        <v/>
      </c>
      <c r="FM61" s="44" t="str">
        <f>IF(AND(FJ62="*", OR(FG61="*", FH61="*",FI61="*")),1,"")</f>
        <v/>
      </c>
      <c r="FN61" s="44" t="str">
        <f>IF(AND(FF62="*",OR(FG61="*",FH61="*",FI61="*",FJ61="*")),1,IF(AND(FJ61="*",OR(FF62="*",FG62="*",FH62="*",FI62="*")),1,""))</f>
        <v/>
      </c>
      <c r="FO61" s="44" t="str">
        <f>IF(AND(FG61="*",OR(FG62="*",FH62="*",FI62="*")),1,IF(AND(FH61="*",OR(FG62="*",FH62="*",FI62="*")),1,IF(AND(FI61="*",OR(FG62="*",FH62="*",FI62="*")),1,"")))</f>
        <v/>
      </c>
      <c r="FP61" s="44" t="str">
        <f>IF(AND(FF61="*",FF62="*"),1,"")</f>
        <v/>
      </c>
      <c r="FR61" s="44"/>
      <c r="FS61" s="44"/>
      <c r="FT61" s="44"/>
      <c r="FU61" s="44"/>
      <c r="FV61" s="44"/>
      <c r="FW61" s="44" t="str">
        <f>IF(AND(FR61="*",OR(FS62="*",FT62="*",FU62="*")), 1,"")</f>
        <v/>
      </c>
      <c r="FX61" s="44" t="str">
        <f>IF(AND(FR61="*",FV62="*"),1,"")</f>
        <v/>
      </c>
      <c r="FY61" s="44" t="str">
        <f>IF(AND(FV62="*", OR(FS61="*", FT61="*",FU61="*")),1,"")</f>
        <v/>
      </c>
      <c r="FZ61" s="44" t="str">
        <f>IF(AND(FR62="*",OR(FS61="*",FT61="*",FU61="*",FV61="*")),1,IF(AND(FV61="*",OR(FR62="*",FS62="*",FT62="*",FU62="*")),1,""))</f>
        <v/>
      </c>
      <c r="GA61" s="44" t="str">
        <f>IF(AND(FS61="*",OR(FS62="*",FT62="*",FU62="*")),1,IF(AND(FT61="*",OR(FS62="*",FT62="*",FU62="*")),1,IF(AND(FU61="*",OR(FS62="*",FT62="*",FU62="*")),1,"")))</f>
        <v/>
      </c>
      <c r="GB61" s="44" t="str">
        <f>IF(AND(FR61="*",FR62="*"),1,"")</f>
        <v/>
      </c>
      <c r="GD61" s="44"/>
      <c r="GE61" s="44"/>
      <c r="GF61" s="44"/>
      <c r="GG61" s="44"/>
      <c r="GH61" s="44"/>
      <c r="GI61" s="44"/>
      <c r="GJ61" s="44" t="str">
        <f>IF(AND(GD61="*",OR(GE62="*",GF62="*",GG62="*")), 1,"")</f>
        <v/>
      </c>
      <c r="GK61" s="44" t="str">
        <f>IF(AND(GD61="*",GH62="*"),1,"")</f>
        <v/>
      </c>
      <c r="GL61" s="44" t="str">
        <f>IF(AND(GH62="*", OR(GE61="*", GF61="*",GG61="*")),1,"")</f>
        <v/>
      </c>
      <c r="GM61" s="44" t="str">
        <f>IF(AND(GD62="*",OR(GE61="*",GF61="*",GG61="*",GH61="*")),1,IF(AND(GH61="*",OR(GD62="*",GE62="*",GF62="*",GG62="*")),1,""))</f>
        <v/>
      </c>
      <c r="GN61" s="44" t="str">
        <f>IF(AND(GE61="*",OR(GE62="*",GF62="*",GG62="*")),1,IF(AND(GF61="*",OR(GE62="*",GF62="*",GG62="*")),1,IF(AND(GG61="*",OR(GE62="*",GF62="*",GG62="*")),1,"")))</f>
        <v/>
      </c>
      <c r="GO61" s="44" t="str">
        <f>IF(AND(GD61="*",GD62="*"),1,"")</f>
        <v/>
      </c>
      <c r="GQ61" s="44"/>
      <c r="GR61" s="44"/>
      <c r="GS61" s="44"/>
      <c r="GT61" s="44"/>
      <c r="GU61" s="44"/>
      <c r="GV61" s="44" t="str">
        <f>IF(AND(GQ61="*",OR(GR62="*",GS62="*",GT62="*")), 1,"")</f>
        <v/>
      </c>
      <c r="GW61" s="44" t="str">
        <f>IF(AND(GQ61="*",GU62="*"),1,"")</f>
        <v/>
      </c>
      <c r="GX61" s="44" t="str">
        <f>IF(AND(GU62="*", OR(GR61="*", GS61="*",GT61="*")),1,"")</f>
        <v/>
      </c>
      <c r="GY61" s="44" t="str">
        <f>IF(AND(GQ62="*",OR(GR61="*",GS61="*",GT61="*",GU61="*")),1,IF(AND(GU61="*",OR(GQ62="*",GR62="*",GS62="*",GT62="*")),1,""))</f>
        <v/>
      </c>
      <c r="GZ61" s="44" t="str">
        <f>IF(AND(GR61="*",OR(GR62="*",GS62="*",GT62="*")),1,IF(AND(GS61="*",OR(GR62="*",GS62="*",GT62="*")),1,IF(AND(GT61="*",OR(GR62="*",GS62="*",GT62="*")),1,"")))</f>
        <v/>
      </c>
      <c r="HA61" s="44" t="str">
        <f>IF(AND(GQ61="*",GQ62="*"),1,"")</f>
        <v/>
      </c>
      <c r="HC61" s="44"/>
      <c r="HD61" s="44"/>
      <c r="HE61" s="44"/>
      <c r="HF61" s="44"/>
      <c r="HG61" s="44"/>
      <c r="HH61" s="44" t="str">
        <f>IF(AND(HC61="*",OR(HD62="*",HE62="*",HF62="*")), 1,"")</f>
        <v/>
      </c>
      <c r="HI61" s="44" t="str">
        <f>IF(AND(HC61="*",HG62="*"),1,"")</f>
        <v/>
      </c>
      <c r="HJ61" s="44" t="str">
        <f>IF(AND(HG62="*", OR(HD61="*", HE61="*",HF61="*")),1,"")</f>
        <v/>
      </c>
      <c r="HK61" s="44" t="str">
        <f>IF(AND(HC62="*",OR(HD61="*",HE61="*",HF61="*",HG61="*")),1,IF(AND(HG61="*",OR(HC62="*",HD62="*",HE62="*",HF62="*")),1,""))</f>
        <v/>
      </c>
      <c r="HL61" s="44" t="str">
        <f>IF(AND(HD61="*",OR(HD62="*",HE62="*",HF62="*")),1,IF(AND(HE61="*",OR(HD62="*",HE62="*",HF62="*")),1,IF(AND(HF61="*",OR(HD62="*",HE62="*",HF62="*")),1,"")))</f>
        <v/>
      </c>
      <c r="HM61" s="44" t="str">
        <f>IF(AND(HC61="*",HC62="*"),1,"")</f>
        <v/>
      </c>
      <c r="HO61" s="44"/>
      <c r="HP61" s="44"/>
      <c r="HQ61" s="44"/>
      <c r="HR61" s="44"/>
      <c r="HS61" s="44"/>
      <c r="HT61" s="44" t="str">
        <f>IF(AND(HO61="*",OR(HP62="*",HQ62="*",HR62="*")), 1,"")</f>
        <v/>
      </c>
      <c r="HU61" s="44" t="str">
        <f>IF(AND(HO61="*",HS62="*"),1,"")</f>
        <v/>
      </c>
      <c r="HV61" s="44" t="str">
        <f>IF(AND(HS62="*", OR(HP61="*", HQ61="*",HR61="*")),1,"")</f>
        <v/>
      </c>
      <c r="HW61" s="44" t="str">
        <f>IF(AND(HO62="*",OR(HP61="*",HQ61="*",HR61="*",HS61="*")),1,IF(AND(HS61="*",OR(HO62="*",HP62="*",HQ62="*",HR62="*")),1,""))</f>
        <v/>
      </c>
      <c r="HX61" s="44" t="str">
        <f>IF(AND(HP61="*",OR(HP62="*",HQ62="*",HR62="*")),1,IF(AND(HQ61="*",OR(HP62="*",HQ62="*",HR62="*")),1,IF(AND(HR61="*",OR(HP62="*",HQ62="*",HR62="*")),1,"")))</f>
        <v/>
      </c>
      <c r="HY61" s="44" t="str">
        <f>IF(AND(HO61="*",HO62="*"),1,"")</f>
        <v/>
      </c>
      <c r="IA61" s="44"/>
      <c r="IB61" s="44"/>
      <c r="IC61" s="44"/>
      <c r="ID61" s="44"/>
      <c r="IE61" s="44"/>
      <c r="IF61" s="44" t="str">
        <f>IF(AND(IA61="*",OR(IB62="*",IC62="*",ID62="*")), 1,"")</f>
        <v/>
      </c>
      <c r="IG61" s="44" t="str">
        <f>IF(AND(IA61="*",IE62="*"),1,"")</f>
        <v/>
      </c>
      <c r="IH61" s="44" t="str">
        <f>IF(AND(IE62="*", OR(IB61="*", IC61="*",ID61="*")),1,"")</f>
        <v/>
      </c>
      <c r="II61" s="44" t="str">
        <f>IF(AND(IA62="*",OR(IB61="*",IC61="*",ID61="*",IE61="*")),1,IF(AND(IE61="*",OR(IA62="*",IB62="*",IC62="*",ID62="*")),1,""))</f>
        <v/>
      </c>
      <c r="IJ61" s="44" t="str">
        <f>IF(AND(IB61="*",OR(IB62="*",IC62="*",ID62="*")),1,IF(AND(IC61="*",OR(IB62="*",IC62="*",ID62="*")),1,IF(AND(ID61="*",OR(IB62="*",IC62="*",ID62="*")),1,"")))</f>
        <v/>
      </c>
      <c r="IK61" s="44" t="str">
        <f>IF(AND(IA61="*",IA62="*"),1,"")</f>
        <v/>
      </c>
      <c r="IL61" s="44">
        <f>COUNT(J61,V61,AH61,AT61,BF61,BS61,CE61,CQ61,DC61,DO61,EA61,EM61,EY61,FK61,FW61,GJ61,GV61,HH61,HT61,IF61)</f>
        <v>0</v>
      </c>
      <c r="IM61" s="44">
        <f t="shared" ref="IM61:IQ61" si="29">COUNT(K61,W61,AI61,AU61,BG61,BT61,CF61,CR61,DD61,DP61,EB61,EN61,EZ61,FL61,FX61,GK61,GW61,HI61,HU61,IG61)</f>
        <v>0</v>
      </c>
      <c r="IN61" s="44">
        <f t="shared" si="29"/>
        <v>0</v>
      </c>
      <c r="IO61" s="44">
        <f t="shared" si="29"/>
        <v>0</v>
      </c>
      <c r="IP61" s="44">
        <f t="shared" si="29"/>
        <v>0</v>
      </c>
      <c r="IQ61" s="44">
        <f t="shared" si="29"/>
        <v>0</v>
      </c>
    </row>
    <row r="62" spans="2:251" ht="15" customHeight="1" x14ac:dyDescent="0.4">
      <c r="B62" s="273"/>
      <c r="C62" s="275"/>
      <c r="D62" s="42" t="s">
        <v>52</v>
      </c>
      <c r="E62" s="44"/>
      <c r="F62" s="44"/>
      <c r="G62" s="44"/>
      <c r="H62" s="44"/>
      <c r="I62" s="44"/>
      <c r="J62" s="43"/>
      <c r="K62" s="43"/>
      <c r="L62" s="43"/>
      <c r="M62" s="43"/>
      <c r="N62" s="43"/>
      <c r="O62" s="43"/>
      <c r="Q62" s="44"/>
      <c r="R62" s="44"/>
      <c r="S62" s="44"/>
      <c r="T62" s="44"/>
      <c r="U62" s="44"/>
      <c r="V62" s="43"/>
      <c r="W62" s="43"/>
      <c r="X62" s="43"/>
      <c r="Y62" s="43"/>
      <c r="Z62" s="43"/>
      <c r="AA62" s="43"/>
      <c r="AC62" s="44"/>
      <c r="AD62" s="44"/>
      <c r="AE62" s="44"/>
      <c r="AF62" s="44"/>
      <c r="AG62" s="44"/>
      <c r="AH62" s="43"/>
      <c r="AI62" s="43"/>
      <c r="AJ62" s="43"/>
      <c r="AK62" s="43"/>
      <c r="AL62" s="43"/>
      <c r="AM62" s="43"/>
      <c r="AO62" s="44"/>
      <c r="AP62" s="44"/>
      <c r="AQ62" s="44"/>
      <c r="AR62" s="44"/>
      <c r="AS62" s="44"/>
      <c r="AT62" s="43"/>
      <c r="AU62" s="43"/>
      <c r="AV62" s="43"/>
      <c r="AW62" s="43"/>
      <c r="AX62" s="43"/>
      <c r="AY62" s="43"/>
      <c r="BA62" s="44"/>
      <c r="BB62" s="44"/>
      <c r="BC62" s="44"/>
      <c r="BD62" s="44"/>
      <c r="BE62" s="44"/>
      <c r="BF62" s="43"/>
      <c r="BG62" s="43"/>
      <c r="BH62" s="43"/>
      <c r="BI62" s="43"/>
      <c r="BJ62" s="43"/>
      <c r="BK62" s="43"/>
      <c r="BM62" s="44"/>
      <c r="BN62" s="44"/>
      <c r="BO62" s="44"/>
      <c r="BP62" s="44"/>
      <c r="BQ62" s="44"/>
      <c r="BR62" s="44"/>
      <c r="BS62" s="43"/>
      <c r="BT62" s="43"/>
      <c r="BU62" s="43"/>
      <c r="BV62" s="43"/>
      <c r="BW62" s="43"/>
      <c r="BX62" s="43"/>
      <c r="BZ62" s="44"/>
      <c r="CA62" s="44"/>
      <c r="CB62" s="44"/>
      <c r="CC62" s="44"/>
      <c r="CD62" s="44"/>
      <c r="CE62" s="43"/>
      <c r="CF62" s="43"/>
      <c r="CG62" s="43"/>
      <c r="CH62" s="43"/>
      <c r="CI62" s="43"/>
      <c r="CJ62" s="43"/>
      <c r="CL62" s="44"/>
      <c r="CM62" s="44"/>
      <c r="CN62" s="44"/>
      <c r="CO62" s="44"/>
      <c r="CP62" s="44"/>
      <c r="CQ62" s="43"/>
      <c r="CR62" s="43"/>
      <c r="CS62" s="43"/>
      <c r="CT62" s="43"/>
      <c r="CU62" s="43"/>
      <c r="CV62" s="43"/>
      <c r="CX62" s="44"/>
      <c r="CY62" s="44"/>
      <c r="CZ62" s="44"/>
      <c r="DA62" s="44"/>
      <c r="DB62" s="44"/>
      <c r="DC62" s="43"/>
      <c r="DD62" s="43"/>
      <c r="DE62" s="43"/>
      <c r="DF62" s="43"/>
      <c r="DG62" s="43"/>
      <c r="DH62" s="43"/>
      <c r="DJ62" s="44"/>
      <c r="DK62" s="44"/>
      <c r="DL62" s="44"/>
      <c r="DM62" s="44"/>
      <c r="DN62" s="44"/>
      <c r="DO62" s="43"/>
      <c r="DP62" s="43"/>
      <c r="DQ62" s="43"/>
      <c r="DR62" s="43"/>
      <c r="DS62" s="43"/>
      <c r="DT62" s="43"/>
      <c r="DV62" s="44"/>
      <c r="DW62" s="44"/>
      <c r="DX62" s="44"/>
      <c r="DY62" s="44"/>
      <c r="DZ62" s="44"/>
      <c r="EA62" s="43"/>
      <c r="EB62" s="43"/>
      <c r="EC62" s="43"/>
      <c r="ED62" s="43"/>
      <c r="EE62" s="43"/>
      <c r="EF62" s="43"/>
      <c r="EH62" s="44"/>
      <c r="EI62" s="44"/>
      <c r="EJ62" s="44"/>
      <c r="EK62" s="44"/>
      <c r="EL62" s="44"/>
      <c r="EM62" s="43"/>
      <c r="EN62" s="43"/>
      <c r="EO62" s="43"/>
      <c r="EP62" s="43"/>
      <c r="EQ62" s="43"/>
      <c r="ER62" s="43"/>
      <c r="ET62" s="44"/>
      <c r="EU62" s="44"/>
      <c r="EV62" s="44"/>
      <c r="EW62" s="44"/>
      <c r="EX62" s="44"/>
      <c r="EY62" s="43"/>
      <c r="EZ62" s="43"/>
      <c r="FA62" s="43"/>
      <c r="FB62" s="43"/>
      <c r="FC62" s="43"/>
      <c r="FD62" s="43"/>
      <c r="FF62" s="44"/>
      <c r="FG62" s="44"/>
      <c r="FH62" s="44"/>
      <c r="FI62" s="44"/>
      <c r="FJ62" s="44"/>
      <c r="FK62" s="43"/>
      <c r="FL62" s="43"/>
      <c r="FM62" s="43"/>
      <c r="FN62" s="43"/>
      <c r="FO62" s="43"/>
      <c r="FP62" s="43"/>
      <c r="FR62" s="44"/>
      <c r="FS62" s="44"/>
      <c r="FT62" s="44"/>
      <c r="FU62" s="44"/>
      <c r="FV62" s="44"/>
      <c r="FW62" s="43"/>
      <c r="FX62" s="43"/>
      <c r="FY62" s="43"/>
      <c r="FZ62" s="43"/>
      <c r="GA62" s="43"/>
      <c r="GB62" s="43"/>
      <c r="GD62" s="44"/>
      <c r="GE62" s="44"/>
      <c r="GF62" s="44"/>
      <c r="GG62" s="44"/>
      <c r="GH62" s="44"/>
      <c r="GI62" s="44"/>
      <c r="GJ62" s="43"/>
      <c r="GK62" s="43"/>
      <c r="GL62" s="43"/>
      <c r="GM62" s="43"/>
      <c r="GN62" s="43"/>
      <c r="GO62" s="43"/>
      <c r="GQ62" s="44"/>
      <c r="GR62" s="44"/>
      <c r="GS62" s="44"/>
      <c r="GT62" s="44"/>
      <c r="GU62" s="44"/>
      <c r="GV62" s="43"/>
      <c r="GW62" s="43"/>
      <c r="GX62" s="43"/>
      <c r="GY62" s="43"/>
      <c r="GZ62" s="43"/>
      <c r="HA62" s="43"/>
      <c r="HC62" s="44"/>
      <c r="HD62" s="44"/>
      <c r="HE62" s="44"/>
      <c r="HF62" s="44"/>
      <c r="HG62" s="44"/>
      <c r="HH62" s="43"/>
      <c r="HI62" s="43"/>
      <c r="HJ62" s="43"/>
      <c r="HK62" s="43"/>
      <c r="HL62" s="43"/>
      <c r="HM62" s="43"/>
      <c r="HO62" s="44"/>
      <c r="HP62" s="44"/>
      <c r="HQ62" s="44"/>
      <c r="HR62" s="44"/>
      <c r="HS62" s="44"/>
      <c r="HT62" s="43"/>
      <c r="HU62" s="43"/>
      <c r="HV62" s="43"/>
      <c r="HW62" s="43"/>
      <c r="HX62" s="43"/>
      <c r="HY62" s="43"/>
      <c r="IA62" s="44"/>
      <c r="IB62" s="44"/>
      <c r="IC62" s="44"/>
      <c r="ID62" s="44"/>
      <c r="IE62" s="44"/>
      <c r="IF62" s="43"/>
      <c r="IG62" s="43"/>
      <c r="IH62" s="43"/>
      <c r="II62" s="43"/>
      <c r="IJ62" s="43"/>
      <c r="IK62" s="43"/>
    </row>
    <row r="63" spans="2:251" ht="15" customHeight="1" x14ac:dyDescent="0.4">
      <c r="B63" s="276">
        <v>31</v>
      </c>
      <c r="C63" s="278">
        <f>고객요구사항도출표!C35</f>
        <v>0</v>
      </c>
      <c r="D63" s="40" t="s">
        <v>55</v>
      </c>
      <c r="E63" s="41"/>
      <c r="F63" s="41"/>
      <c r="G63" s="41"/>
      <c r="H63" s="41"/>
      <c r="I63" s="41"/>
      <c r="J63" s="41" t="str">
        <f>IF(AND(E63="*",OR(F64="*",G64="*",H64="*")), 1,"")</f>
        <v/>
      </c>
      <c r="K63" s="41" t="str">
        <f>IF(AND(E63="*",I64="*"),1,"")</f>
        <v/>
      </c>
      <c r="L63" s="41" t="str">
        <f>IF(AND(I64="*", OR(F63="*", G63="*",H63="*")),1,"")</f>
        <v/>
      </c>
      <c r="M63" s="41" t="str">
        <f>IF(AND(E64="*",OR(F63="*",G63="*",H63="*",I63="*")),1,IF(AND(I63="*",OR(E64="*",F64="*",G64="*",H64="*")),1,""))</f>
        <v/>
      </c>
      <c r="N63" s="41" t="str">
        <f>IF(AND(F63="*",OR(F64="*",G64="*",H64="*")),1,IF(AND(G63="*",OR(F64="*",G64="*",H64="*")),1,IF(AND(H63="*",OR(F64="*",G64="*",H64="*")),1,"")))</f>
        <v/>
      </c>
      <c r="O63" s="41" t="str">
        <f>IF(AND(E63="*",E64="*"),1,"")</f>
        <v/>
      </c>
      <c r="Q63" s="41"/>
      <c r="R63" s="41"/>
      <c r="S63" s="41"/>
      <c r="T63" s="41"/>
      <c r="U63" s="41"/>
      <c r="V63" s="41" t="str">
        <f>IF(AND(Q63="*",OR(R64="*",S64="*",T64="*")), 1,"")</f>
        <v/>
      </c>
      <c r="W63" s="41" t="str">
        <f>IF(AND(Q63="*",U64="*"),1,"")</f>
        <v/>
      </c>
      <c r="X63" s="41" t="str">
        <f>IF(AND(U64="*", OR(R63="*", S63="*",T63="*")),1,"")</f>
        <v/>
      </c>
      <c r="Y63" s="41" t="str">
        <f>IF(AND(Q64="*",OR(R63="*",S63="*",T63="*",U63="*")),1,IF(AND(U63="*",OR(Q64="*",R64="*",S64="*",T64="*")),1,""))</f>
        <v/>
      </c>
      <c r="Z63" s="41" t="str">
        <f>IF(AND(R63="*",OR(R64="*",S64="*",T64="*")),1,IF(AND(S63="*",OR(R64="*",S64="*",T64="*")),1,IF(AND(T63="*",OR(R64="*",S64="*",T64="*")),1,"")))</f>
        <v/>
      </c>
      <c r="AA63" s="41" t="str">
        <f>IF(AND(Q63="*",Q64="*"),1,"")</f>
        <v/>
      </c>
      <c r="AC63" s="41"/>
      <c r="AD63" s="41"/>
      <c r="AE63" s="41"/>
      <c r="AF63" s="41"/>
      <c r="AG63" s="41"/>
      <c r="AH63" s="41" t="str">
        <f>IF(AND(AC63="*",OR(AD64="*",AE64="*",AF64="*")), 1,"")</f>
        <v/>
      </c>
      <c r="AI63" s="41" t="str">
        <f>IF(AND(AC63="*",AG64="*"),1,"")</f>
        <v/>
      </c>
      <c r="AJ63" s="41" t="str">
        <f>IF(AND(AG64="*", OR(AD63="*", AE63="*",AF63="*")),1,"")</f>
        <v/>
      </c>
      <c r="AK63" s="41" t="str">
        <f>IF(AND(AC64="*",OR(AD63="*",AE63="*",AF63="*",AG63="*")),1,IF(AND(AG63="*",OR(AC64="*",AD64="*",AE64="*",AF64="*")),1,""))</f>
        <v/>
      </c>
      <c r="AL63" s="41" t="str">
        <f>IF(AND(AD63="*",OR(AD64="*",AE64="*",AF64="*")),1,IF(AND(AE63="*",OR(AD64="*",AE64="*",AF64="*")),1,IF(AND(AF63="*",OR(AD64="*",AE64="*",AF64="*")),1,"")))</f>
        <v/>
      </c>
      <c r="AM63" s="41" t="str">
        <f>IF(AND(AC63="*",AC64="*"),1,"")</f>
        <v/>
      </c>
      <c r="AO63" s="41"/>
      <c r="AP63" s="41"/>
      <c r="AQ63" s="41"/>
      <c r="AR63" s="41"/>
      <c r="AS63" s="41"/>
      <c r="AT63" s="41" t="str">
        <f>IF(AND(AO63="*",OR(AP64="*",AQ64="*",AR64="*")), 1,"")</f>
        <v/>
      </c>
      <c r="AU63" s="41" t="str">
        <f>IF(AND(AO63="*",AS64="*"),1,"")</f>
        <v/>
      </c>
      <c r="AV63" s="41" t="str">
        <f>IF(AND(AS64="*", OR(AP63="*", AQ63="*",AR63="*")),1,"")</f>
        <v/>
      </c>
      <c r="AW63" s="41" t="str">
        <f>IF(AND(AO64="*",OR(AP63="*",AQ63="*",AR63="*",AS63="*")),1,IF(AND(AS63="*",OR(AO64="*",AP64="*",AQ64="*",AR64="*")),1,""))</f>
        <v/>
      </c>
      <c r="AX63" s="41" t="str">
        <f>IF(AND(AP63="*",OR(AP64="*",AQ64="*",AR64="*")),1,IF(AND(AQ63="*",OR(AP64="*",AQ64="*",AR64="*")),1,IF(AND(AR63="*",OR(AP64="*",AQ64="*",AR64="*")),1,"")))</f>
        <v/>
      </c>
      <c r="AY63" s="41" t="str">
        <f>IF(AND(AO63="*",AO64="*"),1,"")</f>
        <v/>
      </c>
      <c r="BA63" s="41"/>
      <c r="BB63" s="41"/>
      <c r="BC63" s="41"/>
      <c r="BD63" s="41"/>
      <c r="BE63" s="41"/>
      <c r="BF63" s="41" t="str">
        <f>IF(AND(BA63="*",OR(BB64="*",BC64="*",BD64="*")), 1,"")</f>
        <v/>
      </c>
      <c r="BG63" s="41" t="str">
        <f>IF(AND(BA63="*",BE64="*"),1,"")</f>
        <v/>
      </c>
      <c r="BH63" s="41" t="str">
        <f>IF(AND(BE64="*", OR(BB63="*", BC63="*",BD63="*")),1,"")</f>
        <v/>
      </c>
      <c r="BI63" s="41" t="str">
        <f>IF(AND(BA64="*",OR(BB63="*",BC63="*",BD63="*",BE63="*")),1,IF(AND(BE63="*",OR(BA64="*",BB64="*",BC64="*",BD64="*")),1,""))</f>
        <v/>
      </c>
      <c r="BJ63" s="41" t="str">
        <f>IF(AND(BB63="*",OR(BB64="*",BC64="*",BD64="*")),1,IF(AND(BC63="*",OR(BB64="*",BC64="*",BD64="*")),1,IF(AND(BD63="*",OR(BB64="*",BC64="*",BD64="*")),1,"")))</f>
        <v/>
      </c>
      <c r="BK63" s="41" t="str">
        <f>IF(AND(BA63="*",BA64="*"),1,"")</f>
        <v/>
      </c>
      <c r="BM63" s="41"/>
      <c r="BN63" s="41"/>
      <c r="BO63" s="41"/>
      <c r="BP63" s="41"/>
      <c r="BQ63" s="41"/>
      <c r="BR63" s="41"/>
      <c r="BS63" s="41" t="str">
        <f>IF(AND(BM63="*",OR(BN64="*",BO64="*",BP64="*")), 1,"")</f>
        <v/>
      </c>
      <c r="BT63" s="41" t="str">
        <f>IF(AND(BM63="*",BQ64="*"),1,"")</f>
        <v/>
      </c>
      <c r="BU63" s="41" t="str">
        <f>IF(AND(BQ64="*", OR(BN63="*", BO63="*",BP63="*")),1,"")</f>
        <v/>
      </c>
      <c r="BV63" s="41" t="str">
        <f>IF(AND(BM64="*",OR(BN63="*",BO63="*",BP63="*",BQ63="*")),1,IF(AND(BQ63="*",OR(BM64="*",BN64="*",BO64="*",BP64="*")),1,""))</f>
        <v/>
      </c>
      <c r="BW63" s="41" t="str">
        <f>IF(AND(BN63="*",OR(BN64="*",BO64="*",BP64="*")),1,IF(AND(BO63="*",OR(BN64="*",BO64="*",BP64="*")),1,IF(AND(BP63="*",OR(BN64="*",BO64="*",BP64="*")),1,"")))</f>
        <v/>
      </c>
      <c r="BX63" s="41" t="str">
        <f>IF(AND(BM63="*",BM64="*"),1,"")</f>
        <v/>
      </c>
      <c r="BZ63" s="41"/>
      <c r="CA63" s="41"/>
      <c r="CB63" s="41"/>
      <c r="CC63" s="41"/>
      <c r="CD63" s="41"/>
      <c r="CE63" s="41" t="str">
        <f>IF(AND(BZ63="*",OR(CA64="*",CB64="*",CC64="*")), 1,"")</f>
        <v/>
      </c>
      <c r="CF63" s="41" t="str">
        <f>IF(AND(BZ63="*",CD64="*"),1,"")</f>
        <v/>
      </c>
      <c r="CG63" s="41" t="str">
        <f>IF(AND(CD64="*", OR(CA63="*", CB63="*",CC63="*")),1,"")</f>
        <v/>
      </c>
      <c r="CH63" s="41" t="str">
        <f>IF(AND(BZ64="*",OR(CA63="*",CB63="*",CC63="*",CD63="*")),1,IF(AND(CD63="*",OR(BZ64="*",CA64="*",CB64="*",CC64="*")),1,""))</f>
        <v/>
      </c>
      <c r="CI63" s="41" t="str">
        <f>IF(AND(CA63="*",OR(CA64="*",CB64="*",CC64="*")),1,IF(AND(CB63="*",OR(CA64="*",CB64="*",CC64="*")),1,IF(AND(CC63="*",OR(CA64="*",CB64="*",CC64="*")),1,"")))</f>
        <v/>
      </c>
      <c r="CJ63" s="41" t="str">
        <f>IF(AND(BZ63="*",BZ64="*"),1,"")</f>
        <v/>
      </c>
      <c r="CL63" s="41"/>
      <c r="CM63" s="41"/>
      <c r="CN63" s="41"/>
      <c r="CO63" s="41"/>
      <c r="CP63" s="41"/>
      <c r="CQ63" s="41" t="str">
        <f>IF(AND(CL63="*",OR(CM64="*",CN64="*",CO64="*")), 1,"")</f>
        <v/>
      </c>
      <c r="CR63" s="41" t="str">
        <f>IF(AND(CL63="*",CP64="*"),1,"")</f>
        <v/>
      </c>
      <c r="CS63" s="41" t="str">
        <f>IF(AND(CP64="*", OR(CM63="*", CN63="*",CO63="*")),1,"")</f>
        <v/>
      </c>
      <c r="CT63" s="41" t="str">
        <f>IF(AND(CL64="*",OR(CM63="*",CN63="*",CO63="*",CP63="*")),1,IF(AND(CP63="*",OR(CL64="*",CM64="*",CN64="*",CO64="*")),1,""))</f>
        <v/>
      </c>
      <c r="CU63" s="41" t="str">
        <f>IF(AND(CM63="*",OR(CM64="*",CN64="*",CO64="*")),1,IF(AND(CN63="*",OR(CM64="*",CN64="*",CO64="*")),1,IF(AND(CO63="*",OR(CM64="*",CN64="*",CO64="*")),1,"")))</f>
        <v/>
      </c>
      <c r="CV63" s="41" t="str">
        <f>IF(AND(CL63="*",CL64="*"),1,"")</f>
        <v/>
      </c>
      <c r="CX63" s="41"/>
      <c r="CY63" s="41"/>
      <c r="CZ63" s="41"/>
      <c r="DA63" s="41"/>
      <c r="DB63" s="41"/>
      <c r="DC63" s="41" t="str">
        <f>IF(AND(CX63="*",OR(CY64="*",CZ64="*",DA64="*")), 1,"")</f>
        <v/>
      </c>
      <c r="DD63" s="41" t="str">
        <f>IF(AND(CX63="*",DB64="*"),1,"")</f>
        <v/>
      </c>
      <c r="DE63" s="41" t="str">
        <f>IF(AND(DB64="*", OR(CY63="*", CZ63="*",DA63="*")),1,"")</f>
        <v/>
      </c>
      <c r="DF63" s="41" t="str">
        <f>IF(AND(CX64="*",OR(CY63="*",CZ63="*",DA63="*",DB63="*")),1,IF(AND(DB63="*",OR(CX64="*",CY64="*",CZ64="*",DA64="*")),1,""))</f>
        <v/>
      </c>
      <c r="DG63" s="41" t="str">
        <f>IF(AND(CY63="*",OR(CY64="*",CZ64="*",DA64="*")),1,IF(AND(CZ63="*",OR(CY64="*",CZ64="*",DA64="*")),1,IF(AND(DA63="*",OR(CY64="*",CZ64="*",DA64="*")),1,"")))</f>
        <v/>
      </c>
      <c r="DH63" s="41" t="str">
        <f>IF(AND(CX63="*",CX64="*"),1,"")</f>
        <v/>
      </c>
      <c r="DJ63" s="41"/>
      <c r="DK63" s="41"/>
      <c r="DL63" s="41"/>
      <c r="DM63" s="41"/>
      <c r="DN63" s="41"/>
      <c r="DO63" s="41" t="str">
        <f>IF(AND(DJ63="*",OR(DK64="*",DL64="*",DM64="*")), 1,"")</f>
        <v/>
      </c>
      <c r="DP63" s="41" t="str">
        <f>IF(AND(DJ63="*",DN64="*"),1,"")</f>
        <v/>
      </c>
      <c r="DQ63" s="41" t="str">
        <f>IF(AND(DN64="*", OR(DK63="*", DL63="*",DM63="*")),1,"")</f>
        <v/>
      </c>
      <c r="DR63" s="41" t="str">
        <f>IF(AND(DJ64="*",OR(DK63="*",DL63="*",DM63="*",DN63="*")),1,IF(AND(DN63="*",OR(DJ64="*",DK64="*",DL64="*",DM64="*")),1,""))</f>
        <v/>
      </c>
      <c r="DS63" s="41" t="str">
        <f>IF(AND(DK63="*",OR(DK64="*",DL64="*",DM64="*")),1,IF(AND(DL63="*",OR(DK64="*",DL64="*",DM64="*")),1,IF(AND(DM63="*",OR(DK64="*",DL64="*",DM64="*")),1,"")))</f>
        <v/>
      </c>
      <c r="DT63" s="41" t="str">
        <f>IF(AND(DJ63="*",DJ64="*"),1,"")</f>
        <v/>
      </c>
      <c r="DV63" s="41"/>
      <c r="DW63" s="41"/>
      <c r="DX63" s="41"/>
      <c r="DY63" s="41"/>
      <c r="DZ63" s="41"/>
      <c r="EA63" s="41" t="str">
        <f>IF(AND(DV63="*",OR(DW64="*",DX64="*",DY64="*")), 1,"")</f>
        <v/>
      </c>
      <c r="EB63" s="41" t="str">
        <f>IF(AND(DV63="*",DZ64="*"),1,"")</f>
        <v/>
      </c>
      <c r="EC63" s="41" t="str">
        <f>IF(AND(DZ64="*", OR(DW63="*", DX63="*",DY63="*")),1,"")</f>
        <v/>
      </c>
      <c r="ED63" s="41" t="str">
        <f>IF(AND(DV64="*",OR(DW63="*",DX63="*",DY63="*",DZ63="*")),1,IF(AND(DZ63="*",OR(DV64="*",DW64="*",DX64="*",DY64="*")),1,""))</f>
        <v/>
      </c>
      <c r="EE63" s="41" t="str">
        <f>IF(AND(DW63="*",OR(DW64="*",DX64="*",DY64="*")),1,IF(AND(DX63="*",OR(DW64="*",DX64="*",DY64="*")),1,IF(AND(DY63="*",OR(DW64="*",DX64="*",DY64="*")),1,"")))</f>
        <v/>
      </c>
      <c r="EF63" s="41" t="str">
        <f>IF(AND(DV63="*",DV64="*"),1,"")</f>
        <v/>
      </c>
      <c r="EH63" s="41"/>
      <c r="EI63" s="41"/>
      <c r="EJ63" s="41"/>
      <c r="EK63" s="41"/>
      <c r="EL63" s="41"/>
      <c r="EM63" s="41" t="str">
        <f>IF(AND(EH63="*",OR(EI64="*",EJ64="*",EK64="*")), 1,"")</f>
        <v/>
      </c>
      <c r="EN63" s="41" t="str">
        <f>IF(AND(EH63="*",EL64="*"),1,"")</f>
        <v/>
      </c>
      <c r="EO63" s="41" t="str">
        <f>IF(AND(EL64="*", OR(EI63="*", EJ63="*",EK63="*")),1,"")</f>
        <v/>
      </c>
      <c r="EP63" s="41" t="str">
        <f>IF(AND(EH64="*",OR(EI63="*",EJ63="*",EK63="*",EL63="*")),1,IF(AND(EL63="*",OR(EH64="*",EI64="*",EJ64="*",EK64="*")),1,""))</f>
        <v/>
      </c>
      <c r="EQ63" s="41" t="str">
        <f>IF(AND(EI63="*",OR(EI64="*",EJ64="*",EK64="*")),1,IF(AND(EJ63="*",OR(EI64="*",EJ64="*",EK64="*")),1,IF(AND(EK63="*",OR(EI64="*",EJ64="*",EK64="*")),1,"")))</f>
        <v/>
      </c>
      <c r="ER63" s="41" t="str">
        <f>IF(AND(EH63="*",EH64="*"),1,"")</f>
        <v/>
      </c>
      <c r="ET63" s="41"/>
      <c r="EU63" s="41"/>
      <c r="EV63" s="41"/>
      <c r="EW63" s="41"/>
      <c r="EX63" s="41"/>
      <c r="EY63" s="41" t="str">
        <f>IF(AND(ET63="*",OR(EU64="*",EV64="*",EW64="*")), 1,"")</f>
        <v/>
      </c>
      <c r="EZ63" s="41" t="str">
        <f>IF(AND(ET63="*",EX64="*"),1,"")</f>
        <v/>
      </c>
      <c r="FA63" s="41" t="str">
        <f>IF(AND(EX64="*", OR(EU63="*", EV63="*",EW63="*")),1,"")</f>
        <v/>
      </c>
      <c r="FB63" s="41" t="str">
        <f>IF(AND(ET64="*",OR(EU63="*",EV63="*",EW63="*",EX63="*")),1,IF(AND(EX63="*",OR(ET64="*",EU64="*",EV64="*",EW64="*")),1,""))</f>
        <v/>
      </c>
      <c r="FC63" s="41" t="str">
        <f>IF(AND(EU63="*",OR(EU64="*",EV64="*",EW64="*")),1,IF(AND(EV63="*",OR(EU64="*",EV64="*",EW64="*")),1,IF(AND(EW63="*",OR(EU64="*",EV64="*",EW64="*")),1,"")))</f>
        <v/>
      </c>
      <c r="FD63" s="41" t="str">
        <f>IF(AND(ET63="*",ET64="*"),1,"")</f>
        <v/>
      </c>
      <c r="FF63" s="41"/>
      <c r="FG63" s="41"/>
      <c r="FH63" s="41"/>
      <c r="FI63" s="41"/>
      <c r="FJ63" s="41"/>
      <c r="FK63" s="41" t="str">
        <f>IF(AND(FF63="*",OR(FG64="*",FH64="*",FI64="*")), 1,"")</f>
        <v/>
      </c>
      <c r="FL63" s="41" t="str">
        <f>IF(AND(FF63="*",FJ64="*"),1,"")</f>
        <v/>
      </c>
      <c r="FM63" s="41" t="str">
        <f>IF(AND(FJ64="*", OR(FG63="*", FH63="*",FI63="*")),1,"")</f>
        <v/>
      </c>
      <c r="FN63" s="41" t="str">
        <f>IF(AND(FF64="*",OR(FG63="*",FH63="*",FI63="*",FJ63="*")),1,IF(AND(FJ63="*",OR(FF64="*",FG64="*",FH64="*",FI64="*")),1,""))</f>
        <v/>
      </c>
      <c r="FO63" s="41" t="str">
        <f>IF(AND(FG63="*",OR(FG64="*",FH64="*",FI64="*")),1,IF(AND(FH63="*",OR(FG64="*",FH64="*",FI64="*")),1,IF(AND(FI63="*",OR(FG64="*",FH64="*",FI64="*")),1,"")))</f>
        <v/>
      </c>
      <c r="FP63" s="41" t="str">
        <f>IF(AND(FF63="*",FF64="*"),1,"")</f>
        <v/>
      </c>
      <c r="FR63" s="41"/>
      <c r="FS63" s="41"/>
      <c r="FT63" s="41"/>
      <c r="FU63" s="41"/>
      <c r="FV63" s="41"/>
      <c r="FW63" s="41" t="str">
        <f>IF(AND(FR63="*",OR(FS64="*",FT64="*",FU64="*")), 1,"")</f>
        <v/>
      </c>
      <c r="FX63" s="41" t="str">
        <f>IF(AND(FR63="*",FV64="*"),1,"")</f>
        <v/>
      </c>
      <c r="FY63" s="41" t="str">
        <f>IF(AND(FV64="*", OR(FS63="*", FT63="*",FU63="*")),1,"")</f>
        <v/>
      </c>
      <c r="FZ63" s="41" t="str">
        <f>IF(AND(FR64="*",OR(FS63="*",FT63="*",FU63="*",FV63="*")),1,IF(AND(FV63="*",OR(FR64="*",FS64="*",FT64="*",FU64="*")),1,""))</f>
        <v/>
      </c>
      <c r="GA63" s="41" t="str">
        <f>IF(AND(FS63="*",OR(FS64="*",FT64="*",FU64="*")),1,IF(AND(FT63="*",OR(FS64="*",FT64="*",FU64="*")),1,IF(AND(FU63="*",OR(FS64="*",FT64="*",FU64="*")),1,"")))</f>
        <v/>
      </c>
      <c r="GB63" s="41" t="str">
        <f>IF(AND(FR63="*",FR64="*"),1,"")</f>
        <v/>
      </c>
      <c r="GD63" s="41"/>
      <c r="GE63" s="41"/>
      <c r="GF63" s="41"/>
      <c r="GG63" s="41"/>
      <c r="GH63" s="41"/>
      <c r="GI63" s="41"/>
      <c r="GJ63" s="41" t="str">
        <f>IF(AND(GD63="*",OR(GE64="*",GF64="*",GG64="*")), 1,"")</f>
        <v/>
      </c>
      <c r="GK63" s="41" t="str">
        <f>IF(AND(GD63="*",GH64="*"),1,"")</f>
        <v/>
      </c>
      <c r="GL63" s="41" t="str">
        <f>IF(AND(GH64="*", OR(GE63="*", GF63="*",GG63="*")),1,"")</f>
        <v/>
      </c>
      <c r="GM63" s="41" t="str">
        <f>IF(AND(GD64="*",OR(GE63="*",GF63="*",GG63="*",GH63="*")),1,IF(AND(GH63="*",OR(GD64="*",GE64="*",GF64="*",GG64="*")),1,""))</f>
        <v/>
      </c>
      <c r="GN63" s="41" t="str">
        <f>IF(AND(GE63="*",OR(GE64="*",GF64="*",GG64="*")),1,IF(AND(GF63="*",OR(GE64="*",GF64="*",GG64="*")),1,IF(AND(GG63="*",OR(GE64="*",GF64="*",GG64="*")),1,"")))</f>
        <v/>
      </c>
      <c r="GO63" s="41" t="str">
        <f>IF(AND(GD63="*",GD64="*"),1,"")</f>
        <v/>
      </c>
      <c r="GQ63" s="41"/>
      <c r="GR63" s="41"/>
      <c r="GS63" s="41"/>
      <c r="GT63" s="41"/>
      <c r="GU63" s="41"/>
      <c r="GV63" s="41" t="str">
        <f>IF(AND(GQ63="*",OR(GR64="*",GS64="*",GT64="*")), 1,"")</f>
        <v/>
      </c>
      <c r="GW63" s="41" t="str">
        <f>IF(AND(GQ63="*",GU64="*"),1,"")</f>
        <v/>
      </c>
      <c r="GX63" s="41" t="str">
        <f>IF(AND(GU64="*", OR(GR63="*", GS63="*",GT63="*")),1,"")</f>
        <v/>
      </c>
      <c r="GY63" s="41" t="str">
        <f>IF(AND(GQ64="*",OR(GR63="*",GS63="*",GT63="*",GU63="*")),1,IF(AND(GU63="*",OR(GQ64="*",GR64="*",GS64="*",GT64="*")),1,""))</f>
        <v/>
      </c>
      <c r="GZ63" s="41" t="str">
        <f>IF(AND(GR63="*",OR(GR64="*",GS64="*",GT64="*")),1,IF(AND(GS63="*",OR(GR64="*",GS64="*",GT64="*")),1,IF(AND(GT63="*",OR(GR64="*",GS64="*",GT64="*")),1,"")))</f>
        <v/>
      </c>
      <c r="HA63" s="41" t="str">
        <f>IF(AND(GQ63="*",GQ64="*"),1,"")</f>
        <v/>
      </c>
      <c r="HC63" s="41"/>
      <c r="HD63" s="41"/>
      <c r="HE63" s="41"/>
      <c r="HF63" s="41"/>
      <c r="HG63" s="41"/>
      <c r="HH63" s="41" t="str">
        <f>IF(AND(HC63="*",OR(HD64="*",HE64="*",HF64="*")), 1,"")</f>
        <v/>
      </c>
      <c r="HI63" s="41" t="str">
        <f>IF(AND(HC63="*",HG64="*"),1,"")</f>
        <v/>
      </c>
      <c r="HJ63" s="41" t="str">
        <f>IF(AND(HG64="*", OR(HD63="*", HE63="*",HF63="*")),1,"")</f>
        <v/>
      </c>
      <c r="HK63" s="41" t="str">
        <f>IF(AND(HC64="*",OR(HD63="*",HE63="*",HF63="*",HG63="*")),1,IF(AND(HG63="*",OR(HC64="*",HD64="*",HE64="*",HF64="*")),1,""))</f>
        <v/>
      </c>
      <c r="HL63" s="41" t="str">
        <f>IF(AND(HD63="*",OR(HD64="*",HE64="*",HF64="*")),1,IF(AND(HE63="*",OR(HD64="*",HE64="*",HF64="*")),1,IF(AND(HF63="*",OR(HD64="*",HE64="*",HF64="*")),1,"")))</f>
        <v/>
      </c>
      <c r="HM63" s="41" t="str">
        <f>IF(AND(HC63="*",HC64="*"),1,"")</f>
        <v/>
      </c>
      <c r="HO63" s="41"/>
      <c r="HP63" s="41"/>
      <c r="HQ63" s="41"/>
      <c r="HR63" s="41"/>
      <c r="HS63" s="41"/>
      <c r="HT63" s="41" t="str">
        <f>IF(AND(HO63="*",OR(HP64="*",HQ64="*",HR64="*")), 1,"")</f>
        <v/>
      </c>
      <c r="HU63" s="41" t="str">
        <f>IF(AND(HO63="*",HS64="*"),1,"")</f>
        <v/>
      </c>
      <c r="HV63" s="41" t="str">
        <f>IF(AND(HS64="*", OR(HP63="*", HQ63="*",HR63="*")),1,"")</f>
        <v/>
      </c>
      <c r="HW63" s="41" t="str">
        <f>IF(AND(HO64="*",OR(HP63="*",HQ63="*",HR63="*",HS63="*")),1,IF(AND(HS63="*",OR(HO64="*",HP64="*",HQ64="*",HR64="*")),1,""))</f>
        <v/>
      </c>
      <c r="HX63" s="41" t="str">
        <f>IF(AND(HP63="*",OR(HP64="*",HQ64="*",HR64="*")),1,IF(AND(HQ63="*",OR(HP64="*",HQ64="*",HR64="*")),1,IF(AND(HR63="*",OR(HP64="*",HQ64="*",HR64="*")),1,"")))</f>
        <v/>
      </c>
      <c r="HY63" s="41" t="str">
        <f>IF(AND(HO63="*",HO64="*"),1,"")</f>
        <v/>
      </c>
      <c r="IA63" s="41"/>
      <c r="IB63" s="41"/>
      <c r="IC63" s="41"/>
      <c r="ID63" s="41"/>
      <c r="IE63" s="41"/>
      <c r="IF63" s="41" t="str">
        <f>IF(AND(IA63="*",OR(IB64="*",IC64="*",ID64="*")), 1,"")</f>
        <v/>
      </c>
      <c r="IG63" s="41" t="str">
        <f>IF(AND(IA63="*",IE64="*"),1,"")</f>
        <v/>
      </c>
      <c r="IH63" s="41" t="str">
        <f>IF(AND(IE64="*", OR(IB63="*", IC63="*",ID63="*")),1,"")</f>
        <v/>
      </c>
      <c r="II63" s="41" t="str">
        <f>IF(AND(IA64="*",OR(IB63="*",IC63="*",ID63="*",IE63="*")),1,IF(AND(IE63="*",OR(IA64="*",IB64="*",IC64="*",ID64="*")),1,""))</f>
        <v/>
      </c>
      <c r="IJ63" s="41" t="str">
        <f>IF(AND(IB63="*",OR(IB64="*",IC64="*",ID64="*")),1,IF(AND(IC63="*",OR(IB64="*",IC64="*",ID64="*")),1,IF(AND(ID63="*",OR(IB64="*",IC64="*",ID64="*")),1,"")))</f>
        <v/>
      </c>
      <c r="IK63" s="41" t="str">
        <f>IF(AND(IA63="*",IA64="*"),1,"")</f>
        <v/>
      </c>
      <c r="IL63" s="41">
        <f>COUNT(J63,V63,AH63,AT63,BF63,BS63,CE63,CQ63,DC63,DO63,EA63,EM63,EY63,FK63,FW63,GJ63,GV63,HH63,HT63,IF63)</f>
        <v>0</v>
      </c>
      <c r="IM63" s="41">
        <f t="shared" ref="IM63:IQ63" si="30">COUNT(K63,W63,AI63,AU63,BG63,BT63,CF63,CR63,DD63,DP63,EB63,EN63,EZ63,FL63,FX63,GK63,GW63,HI63,HU63,IG63)</f>
        <v>0</v>
      </c>
      <c r="IN63" s="41">
        <f t="shared" si="30"/>
        <v>0</v>
      </c>
      <c r="IO63" s="41">
        <f t="shared" si="30"/>
        <v>0</v>
      </c>
      <c r="IP63" s="41">
        <f t="shared" si="30"/>
        <v>0</v>
      </c>
      <c r="IQ63" s="41">
        <f t="shared" si="30"/>
        <v>0</v>
      </c>
    </row>
    <row r="64" spans="2:251" ht="15" customHeight="1" x14ac:dyDescent="0.4">
      <c r="B64" s="277"/>
      <c r="C64" s="279"/>
      <c r="D64" s="42" t="s">
        <v>52</v>
      </c>
      <c r="E64" s="41"/>
      <c r="F64" s="41"/>
      <c r="G64" s="41"/>
      <c r="H64" s="41"/>
      <c r="I64" s="41"/>
      <c r="J64" s="43"/>
      <c r="K64" s="43"/>
      <c r="L64" s="43"/>
      <c r="M64" s="43"/>
      <c r="N64" s="43"/>
      <c r="O64" s="43"/>
      <c r="Q64" s="41"/>
      <c r="R64" s="41"/>
      <c r="S64" s="41"/>
      <c r="T64" s="41"/>
      <c r="U64" s="41"/>
      <c r="V64" s="43"/>
      <c r="W64" s="43"/>
      <c r="X64" s="43"/>
      <c r="Y64" s="43"/>
      <c r="Z64" s="43"/>
      <c r="AA64" s="43"/>
      <c r="AC64" s="41"/>
      <c r="AD64" s="41"/>
      <c r="AE64" s="41"/>
      <c r="AF64" s="41"/>
      <c r="AG64" s="41"/>
      <c r="AH64" s="43"/>
      <c r="AI64" s="43"/>
      <c r="AJ64" s="43"/>
      <c r="AK64" s="43"/>
      <c r="AL64" s="43"/>
      <c r="AM64" s="43"/>
      <c r="AO64" s="41"/>
      <c r="AP64" s="41"/>
      <c r="AQ64" s="41"/>
      <c r="AR64" s="41"/>
      <c r="AS64" s="41"/>
      <c r="AT64" s="43"/>
      <c r="AU64" s="43"/>
      <c r="AV64" s="43"/>
      <c r="AW64" s="43"/>
      <c r="AX64" s="43"/>
      <c r="AY64" s="43"/>
      <c r="BA64" s="41"/>
      <c r="BB64" s="41"/>
      <c r="BC64" s="41"/>
      <c r="BD64" s="41"/>
      <c r="BE64" s="41"/>
      <c r="BF64" s="43"/>
      <c r="BG64" s="43"/>
      <c r="BH64" s="43"/>
      <c r="BI64" s="43"/>
      <c r="BJ64" s="43"/>
      <c r="BK64" s="43"/>
      <c r="BM64" s="41"/>
      <c r="BN64" s="41"/>
      <c r="BO64" s="41"/>
      <c r="BP64" s="41"/>
      <c r="BQ64" s="41"/>
      <c r="BR64" s="41"/>
      <c r="BS64" s="43"/>
      <c r="BT64" s="43"/>
      <c r="BU64" s="43"/>
      <c r="BV64" s="43"/>
      <c r="BW64" s="43"/>
      <c r="BX64" s="43"/>
      <c r="BZ64" s="41"/>
      <c r="CA64" s="41"/>
      <c r="CB64" s="41"/>
      <c r="CC64" s="41"/>
      <c r="CD64" s="41"/>
      <c r="CE64" s="43"/>
      <c r="CF64" s="43"/>
      <c r="CG64" s="43"/>
      <c r="CH64" s="43"/>
      <c r="CI64" s="43"/>
      <c r="CJ64" s="43"/>
      <c r="CL64" s="41"/>
      <c r="CM64" s="41"/>
      <c r="CN64" s="41"/>
      <c r="CO64" s="41"/>
      <c r="CP64" s="41"/>
      <c r="CQ64" s="43"/>
      <c r="CR64" s="43"/>
      <c r="CS64" s="43"/>
      <c r="CT64" s="43"/>
      <c r="CU64" s="43"/>
      <c r="CV64" s="43"/>
      <c r="CX64" s="41"/>
      <c r="CY64" s="41"/>
      <c r="CZ64" s="41"/>
      <c r="DA64" s="41"/>
      <c r="DB64" s="41"/>
      <c r="DC64" s="43"/>
      <c r="DD64" s="43"/>
      <c r="DE64" s="43"/>
      <c r="DF64" s="43"/>
      <c r="DG64" s="43"/>
      <c r="DH64" s="43"/>
      <c r="DJ64" s="41"/>
      <c r="DK64" s="41"/>
      <c r="DL64" s="41"/>
      <c r="DM64" s="41"/>
      <c r="DN64" s="41"/>
      <c r="DO64" s="43"/>
      <c r="DP64" s="43"/>
      <c r="DQ64" s="43"/>
      <c r="DR64" s="43"/>
      <c r="DS64" s="43"/>
      <c r="DT64" s="43"/>
      <c r="DV64" s="41"/>
      <c r="DW64" s="41"/>
      <c r="DX64" s="41"/>
      <c r="DY64" s="41"/>
      <c r="DZ64" s="41"/>
      <c r="EA64" s="43"/>
      <c r="EB64" s="43"/>
      <c r="EC64" s="43"/>
      <c r="ED64" s="43"/>
      <c r="EE64" s="43"/>
      <c r="EF64" s="43"/>
      <c r="EH64" s="41"/>
      <c r="EI64" s="41"/>
      <c r="EJ64" s="41"/>
      <c r="EK64" s="41"/>
      <c r="EL64" s="41"/>
      <c r="EM64" s="43"/>
      <c r="EN64" s="43"/>
      <c r="EO64" s="43"/>
      <c r="EP64" s="43"/>
      <c r="EQ64" s="43"/>
      <c r="ER64" s="43"/>
      <c r="ET64" s="41"/>
      <c r="EU64" s="41"/>
      <c r="EV64" s="41"/>
      <c r="EW64" s="41"/>
      <c r="EX64" s="41"/>
      <c r="EY64" s="43"/>
      <c r="EZ64" s="43"/>
      <c r="FA64" s="43"/>
      <c r="FB64" s="43"/>
      <c r="FC64" s="43"/>
      <c r="FD64" s="43"/>
      <c r="FF64" s="41"/>
      <c r="FG64" s="41"/>
      <c r="FH64" s="41"/>
      <c r="FI64" s="41"/>
      <c r="FJ64" s="41"/>
      <c r="FK64" s="43"/>
      <c r="FL64" s="43"/>
      <c r="FM64" s="43"/>
      <c r="FN64" s="43"/>
      <c r="FO64" s="43"/>
      <c r="FP64" s="43"/>
      <c r="FR64" s="41"/>
      <c r="FS64" s="41"/>
      <c r="FT64" s="41"/>
      <c r="FU64" s="41"/>
      <c r="FV64" s="41"/>
      <c r="FW64" s="43"/>
      <c r="FX64" s="43"/>
      <c r="FY64" s="43"/>
      <c r="FZ64" s="43"/>
      <c r="GA64" s="43"/>
      <c r="GB64" s="43"/>
      <c r="GD64" s="41"/>
      <c r="GE64" s="41"/>
      <c r="GF64" s="41"/>
      <c r="GG64" s="41"/>
      <c r="GH64" s="41"/>
      <c r="GI64" s="41"/>
      <c r="GJ64" s="43"/>
      <c r="GK64" s="43"/>
      <c r="GL64" s="43"/>
      <c r="GM64" s="43"/>
      <c r="GN64" s="43"/>
      <c r="GO64" s="43"/>
      <c r="GQ64" s="41"/>
      <c r="GR64" s="41"/>
      <c r="GS64" s="41"/>
      <c r="GT64" s="41"/>
      <c r="GU64" s="41"/>
      <c r="GV64" s="43"/>
      <c r="GW64" s="43"/>
      <c r="GX64" s="43"/>
      <c r="GY64" s="43"/>
      <c r="GZ64" s="43"/>
      <c r="HA64" s="43"/>
      <c r="HC64" s="41"/>
      <c r="HD64" s="41"/>
      <c r="HE64" s="41"/>
      <c r="HF64" s="41"/>
      <c r="HG64" s="41"/>
      <c r="HH64" s="43"/>
      <c r="HI64" s="43"/>
      <c r="HJ64" s="43"/>
      <c r="HK64" s="43"/>
      <c r="HL64" s="43"/>
      <c r="HM64" s="43"/>
      <c r="HO64" s="41"/>
      <c r="HP64" s="41"/>
      <c r="HQ64" s="41"/>
      <c r="HR64" s="41"/>
      <c r="HS64" s="41"/>
      <c r="HT64" s="43"/>
      <c r="HU64" s="43"/>
      <c r="HV64" s="43"/>
      <c r="HW64" s="43"/>
      <c r="HX64" s="43"/>
      <c r="HY64" s="43"/>
      <c r="IA64" s="41"/>
      <c r="IB64" s="41"/>
      <c r="IC64" s="41"/>
      <c r="ID64" s="41"/>
      <c r="IE64" s="41"/>
      <c r="IF64" s="43"/>
      <c r="IG64" s="43"/>
      <c r="IH64" s="43"/>
      <c r="II64" s="43"/>
      <c r="IJ64" s="43"/>
      <c r="IK64" s="43"/>
    </row>
    <row r="65" spans="2:251" ht="15" customHeight="1" x14ac:dyDescent="0.4">
      <c r="B65" s="273">
        <v>32</v>
      </c>
      <c r="C65" s="274">
        <f>고객요구사항도출표!C36</f>
        <v>0</v>
      </c>
      <c r="D65" s="40" t="s">
        <v>55</v>
      </c>
      <c r="E65" s="44"/>
      <c r="F65" s="44"/>
      <c r="G65" s="44"/>
      <c r="H65" s="44"/>
      <c r="I65" s="44"/>
      <c r="J65" s="44" t="str">
        <f>IF(AND(E65="*",OR(F66="*",G66="*",H66="*")), 1,"")</f>
        <v/>
      </c>
      <c r="K65" s="44" t="str">
        <f>IF(AND(E65="*",I66="*"),1,"")</f>
        <v/>
      </c>
      <c r="L65" s="44" t="str">
        <f>IF(AND(I66="*", OR(F65="*", G65="*",H65="*")),1,"")</f>
        <v/>
      </c>
      <c r="M65" s="44" t="str">
        <f>IF(AND(E66="*",OR(F65="*",G65="*",H65="*",I65="*")),1,IF(AND(I65="*",OR(E66="*",F66="*",G66="*",H66="*")),1,""))</f>
        <v/>
      </c>
      <c r="N65" s="44" t="str">
        <f>IF(AND(F65="*",OR(F66="*",G66="*",H66="*")),1,IF(AND(G65="*",OR(F66="*",G66="*",H66="*")),1,IF(AND(H65="*",OR(F66="*",G66="*",H66="*")),1,"")))</f>
        <v/>
      </c>
      <c r="O65" s="44" t="str">
        <f>IF(AND(E65="*",E66="*"),1,"")</f>
        <v/>
      </c>
      <c r="Q65" s="44"/>
      <c r="R65" s="44"/>
      <c r="S65" s="44"/>
      <c r="T65" s="44"/>
      <c r="U65" s="44"/>
      <c r="V65" s="44" t="str">
        <f>IF(AND(Q65="*",OR(R66="*",S66="*",T66="*")), 1,"")</f>
        <v/>
      </c>
      <c r="W65" s="44" t="str">
        <f>IF(AND(Q65="*",U66="*"),1,"")</f>
        <v/>
      </c>
      <c r="X65" s="44" t="str">
        <f>IF(AND(U66="*", OR(R65="*", S65="*",T65="*")),1,"")</f>
        <v/>
      </c>
      <c r="Y65" s="44" t="str">
        <f>IF(AND(Q66="*",OR(R65="*",S65="*",T65="*",U65="*")),1,IF(AND(U65="*",OR(Q66="*",R66="*",S66="*",T66="*")),1,""))</f>
        <v/>
      </c>
      <c r="Z65" s="44" t="str">
        <f>IF(AND(R65="*",OR(R66="*",S66="*",T66="*")),1,IF(AND(S65="*",OR(R66="*",S66="*",T66="*")),1,IF(AND(T65="*",OR(R66="*",S66="*",T66="*")),1,"")))</f>
        <v/>
      </c>
      <c r="AA65" s="44" t="str">
        <f>IF(AND(Q65="*",Q66="*"),1,"")</f>
        <v/>
      </c>
      <c r="AC65" s="44"/>
      <c r="AD65" s="44"/>
      <c r="AE65" s="44"/>
      <c r="AF65" s="44"/>
      <c r="AG65" s="44"/>
      <c r="AH65" s="44" t="str">
        <f>IF(AND(AC65="*",OR(AD66="*",AE66="*",AF66="*")), 1,"")</f>
        <v/>
      </c>
      <c r="AI65" s="44" t="str">
        <f>IF(AND(AC65="*",AG66="*"),1,"")</f>
        <v/>
      </c>
      <c r="AJ65" s="44" t="str">
        <f>IF(AND(AG66="*", OR(AD65="*", AE65="*",AF65="*")),1,"")</f>
        <v/>
      </c>
      <c r="AK65" s="44" t="str">
        <f>IF(AND(AC66="*",OR(AD65="*",AE65="*",AF65="*",AG65="*")),1,IF(AND(AG65="*",OR(AC66="*",AD66="*",AE66="*",AF66="*")),1,""))</f>
        <v/>
      </c>
      <c r="AL65" s="44" t="str">
        <f>IF(AND(AD65="*",OR(AD66="*",AE66="*",AF66="*")),1,IF(AND(AE65="*",OR(AD66="*",AE66="*",AF66="*")),1,IF(AND(AF65="*",OR(AD66="*",AE66="*",AF66="*")),1,"")))</f>
        <v/>
      </c>
      <c r="AM65" s="44" t="str">
        <f>IF(AND(AC65="*",AC66="*"),1,"")</f>
        <v/>
      </c>
      <c r="AO65" s="44"/>
      <c r="AP65" s="44"/>
      <c r="AQ65" s="44"/>
      <c r="AR65" s="44"/>
      <c r="AS65" s="44"/>
      <c r="AT65" s="44" t="str">
        <f>IF(AND(AO65="*",OR(AP66="*",AQ66="*",AR66="*")), 1,"")</f>
        <v/>
      </c>
      <c r="AU65" s="44" t="str">
        <f>IF(AND(AO65="*",AS66="*"),1,"")</f>
        <v/>
      </c>
      <c r="AV65" s="44" t="str">
        <f>IF(AND(AS66="*", OR(AP65="*", AQ65="*",AR65="*")),1,"")</f>
        <v/>
      </c>
      <c r="AW65" s="44" t="str">
        <f>IF(AND(AO66="*",OR(AP65="*",AQ65="*",AR65="*",AS65="*")),1,IF(AND(AS65="*",OR(AO66="*",AP66="*",AQ66="*",AR66="*")),1,""))</f>
        <v/>
      </c>
      <c r="AX65" s="44" t="str">
        <f>IF(AND(AP65="*",OR(AP66="*",AQ66="*",AR66="*")),1,IF(AND(AQ65="*",OR(AP66="*",AQ66="*",AR66="*")),1,IF(AND(AR65="*",OR(AP66="*",AQ66="*",AR66="*")),1,"")))</f>
        <v/>
      </c>
      <c r="AY65" s="44" t="str">
        <f>IF(AND(AO65="*",AO66="*"),1,"")</f>
        <v/>
      </c>
      <c r="BA65" s="44"/>
      <c r="BB65" s="44"/>
      <c r="BC65" s="44"/>
      <c r="BD65" s="44"/>
      <c r="BE65" s="44"/>
      <c r="BF65" s="44" t="str">
        <f>IF(AND(BA65="*",OR(BB66="*",BC66="*",BD66="*")), 1,"")</f>
        <v/>
      </c>
      <c r="BG65" s="44" t="str">
        <f>IF(AND(BA65="*",BE66="*"),1,"")</f>
        <v/>
      </c>
      <c r="BH65" s="44" t="str">
        <f>IF(AND(BE66="*", OR(BB65="*", BC65="*",BD65="*")),1,"")</f>
        <v/>
      </c>
      <c r="BI65" s="44" t="str">
        <f>IF(AND(BA66="*",OR(BB65="*",BC65="*",BD65="*",BE65="*")),1,IF(AND(BE65="*",OR(BA66="*",BB66="*",BC66="*",BD66="*")),1,""))</f>
        <v/>
      </c>
      <c r="BJ65" s="44" t="str">
        <f>IF(AND(BB65="*",OR(BB66="*",BC66="*",BD66="*")),1,IF(AND(BC65="*",OR(BB66="*",BC66="*",BD66="*")),1,IF(AND(BD65="*",OR(BB66="*",BC66="*",BD66="*")),1,"")))</f>
        <v/>
      </c>
      <c r="BK65" s="44" t="str">
        <f>IF(AND(BA65="*",BA66="*"),1,"")</f>
        <v/>
      </c>
      <c r="BM65" s="44"/>
      <c r="BN65" s="44"/>
      <c r="BO65" s="44"/>
      <c r="BP65" s="44"/>
      <c r="BQ65" s="44"/>
      <c r="BR65" s="44"/>
      <c r="BS65" s="44" t="str">
        <f>IF(AND(BM65="*",OR(BN66="*",BO66="*",BP66="*")), 1,"")</f>
        <v/>
      </c>
      <c r="BT65" s="44" t="str">
        <f>IF(AND(BM65="*",BQ66="*"),1,"")</f>
        <v/>
      </c>
      <c r="BU65" s="44" t="str">
        <f>IF(AND(BQ66="*", OR(BN65="*", BO65="*",BP65="*")),1,"")</f>
        <v/>
      </c>
      <c r="BV65" s="44" t="str">
        <f>IF(AND(BM66="*",OR(BN65="*",BO65="*",BP65="*",BQ65="*")),1,IF(AND(BQ65="*",OR(BM66="*",BN66="*",BO66="*",BP66="*")),1,""))</f>
        <v/>
      </c>
      <c r="BW65" s="44" t="str">
        <f>IF(AND(BN65="*",OR(BN66="*",BO66="*",BP66="*")),1,IF(AND(BO65="*",OR(BN66="*",BO66="*",BP66="*")),1,IF(AND(BP65="*",OR(BN66="*",BO66="*",BP66="*")),1,"")))</f>
        <v/>
      </c>
      <c r="BX65" s="44" t="str">
        <f>IF(AND(BM65="*",BM66="*"),1,"")</f>
        <v/>
      </c>
      <c r="BZ65" s="44"/>
      <c r="CA65" s="44"/>
      <c r="CB65" s="44"/>
      <c r="CC65" s="44"/>
      <c r="CD65" s="44"/>
      <c r="CE65" s="44" t="str">
        <f>IF(AND(BZ65="*",OR(CA66="*",CB66="*",CC66="*")), 1,"")</f>
        <v/>
      </c>
      <c r="CF65" s="44" t="str">
        <f>IF(AND(BZ65="*",CD66="*"),1,"")</f>
        <v/>
      </c>
      <c r="CG65" s="44" t="str">
        <f>IF(AND(CD66="*", OR(CA65="*", CB65="*",CC65="*")),1,"")</f>
        <v/>
      </c>
      <c r="CH65" s="44" t="str">
        <f>IF(AND(BZ66="*",OR(CA65="*",CB65="*",CC65="*",CD65="*")),1,IF(AND(CD65="*",OR(BZ66="*",CA66="*",CB66="*",CC66="*")),1,""))</f>
        <v/>
      </c>
      <c r="CI65" s="44" t="str">
        <f>IF(AND(CA65="*",OR(CA66="*",CB66="*",CC66="*")),1,IF(AND(CB65="*",OR(CA66="*",CB66="*",CC66="*")),1,IF(AND(CC65="*",OR(CA66="*",CB66="*",CC66="*")),1,"")))</f>
        <v/>
      </c>
      <c r="CJ65" s="44" t="str">
        <f>IF(AND(BZ65="*",BZ66="*"),1,"")</f>
        <v/>
      </c>
      <c r="CL65" s="44"/>
      <c r="CM65" s="44"/>
      <c r="CN65" s="44"/>
      <c r="CO65" s="44"/>
      <c r="CP65" s="44"/>
      <c r="CQ65" s="44" t="str">
        <f>IF(AND(CL65="*",OR(CM66="*",CN66="*",CO66="*")), 1,"")</f>
        <v/>
      </c>
      <c r="CR65" s="44" t="str">
        <f>IF(AND(CL65="*",CP66="*"),1,"")</f>
        <v/>
      </c>
      <c r="CS65" s="44" t="str">
        <f>IF(AND(CP66="*", OR(CM65="*", CN65="*",CO65="*")),1,"")</f>
        <v/>
      </c>
      <c r="CT65" s="44" t="str">
        <f>IF(AND(CL66="*",OR(CM65="*",CN65="*",CO65="*",CP65="*")),1,IF(AND(CP65="*",OR(CL66="*",CM66="*",CN66="*",CO66="*")),1,""))</f>
        <v/>
      </c>
      <c r="CU65" s="44" t="str">
        <f>IF(AND(CM65="*",OR(CM66="*",CN66="*",CO66="*")),1,IF(AND(CN65="*",OR(CM66="*",CN66="*",CO66="*")),1,IF(AND(CO65="*",OR(CM66="*",CN66="*",CO66="*")),1,"")))</f>
        <v/>
      </c>
      <c r="CV65" s="44" t="str">
        <f>IF(AND(CL65="*",CL66="*"),1,"")</f>
        <v/>
      </c>
      <c r="CX65" s="44"/>
      <c r="CY65" s="44"/>
      <c r="CZ65" s="44"/>
      <c r="DA65" s="44"/>
      <c r="DB65" s="44"/>
      <c r="DC65" s="44" t="str">
        <f>IF(AND(CX65="*",OR(CY66="*",CZ66="*",DA66="*")), 1,"")</f>
        <v/>
      </c>
      <c r="DD65" s="44" t="str">
        <f>IF(AND(CX65="*",DB66="*"),1,"")</f>
        <v/>
      </c>
      <c r="DE65" s="44" t="str">
        <f>IF(AND(DB66="*", OR(CY65="*", CZ65="*",DA65="*")),1,"")</f>
        <v/>
      </c>
      <c r="DF65" s="44" t="str">
        <f>IF(AND(CX66="*",OR(CY65="*",CZ65="*",DA65="*",DB65="*")),1,IF(AND(DB65="*",OR(CX66="*",CY66="*",CZ66="*",DA66="*")),1,""))</f>
        <v/>
      </c>
      <c r="DG65" s="44" t="str">
        <f>IF(AND(CY65="*",OR(CY66="*",CZ66="*",DA66="*")),1,IF(AND(CZ65="*",OR(CY66="*",CZ66="*",DA66="*")),1,IF(AND(DA65="*",OR(CY66="*",CZ66="*",DA66="*")),1,"")))</f>
        <v/>
      </c>
      <c r="DH65" s="44" t="str">
        <f>IF(AND(CX65="*",CX66="*"),1,"")</f>
        <v/>
      </c>
      <c r="DJ65" s="44"/>
      <c r="DK65" s="44"/>
      <c r="DL65" s="44"/>
      <c r="DM65" s="44"/>
      <c r="DN65" s="44"/>
      <c r="DO65" s="44" t="str">
        <f>IF(AND(DJ65="*",OR(DK66="*",DL66="*",DM66="*")), 1,"")</f>
        <v/>
      </c>
      <c r="DP65" s="44" t="str">
        <f>IF(AND(DJ65="*",DN66="*"),1,"")</f>
        <v/>
      </c>
      <c r="DQ65" s="44" t="str">
        <f>IF(AND(DN66="*", OR(DK65="*", DL65="*",DM65="*")),1,"")</f>
        <v/>
      </c>
      <c r="DR65" s="44" t="str">
        <f>IF(AND(DJ66="*",OR(DK65="*",DL65="*",DM65="*",DN65="*")),1,IF(AND(DN65="*",OR(DJ66="*",DK66="*",DL66="*",DM66="*")),1,""))</f>
        <v/>
      </c>
      <c r="DS65" s="44" t="str">
        <f>IF(AND(DK65="*",OR(DK66="*",DL66="*",DM66="*")),1,IF(AND(DL65="*",OR(DK66="*",DL66="*",DM66="*")),1,IF(AND(DM65="*",OR(DK66="*",DL66="*",DM66="*")),1,"")))</f>
        <v/>
      </c>
      <c r="DT65" s="44" t="str">
        <f>IF(AND(DJ65="*",DJ66="*"),1,"")</f>
        <v/>
      </c>
      <c r="DV65" s="44"/>
      <c r="DW65" s="44"/>
      <c r="DX65" s="44"/>
      <c r="DY65" s="44"/>
      <c r="DZ65" s="44"/>
      <c r="EA65" s="44" t="str">
        <f>IF(AND(DV65="*",OR(DW66="*",DX66="*",DY66="*")), 1,"")</f>
        <v/>
      </c>
      <c r="EB65" s="44" t="str">
        <f>IF(AND(DV65="*",DZ66="*"),1,"")</f>
        <v/>
      </c>
      <c r="EC65" s="44" t="str">
        <f>IF(AND(DZ66="*", OR(DW65="*", DX65="*",DY65="*")),1,"")</f>
        <v/>
      </c>
      <c r="ED65" s="44" t="str">
        <f>IF(AND(DV66="*",OR(DW65="*",DX65="*",DY65="*",DZ65="*")),1,IF(AND(DZ65="*",OR(DV66="*",DW66="*",DX66="*",DY66="*")),1,""))</f>
        <v/>
      </c>
      <c r="EE65" s="44" t="str">
        <f>IF(AND(DW65="*",OR(DW66="*",DX66="*",DY66="*")),1,IF(AND(DX65="*",OR(DW66="*",DX66="*",DY66="*")),1,IF(AND(DY65="*",OR(DW66="*",DX66="*",DY66="*")),1,"")))</f>
        <v/>
      </c>
      <c r="EF65" s="44" t="str">
        <f>IF(AND(DV65="*",DV66="*"),1,"")</f>
        <v/>
      </c>
      <c r="EH65" s="44"/>
      <c r="EI65" s="44"/>
      <c r="EJ65" s="44"/>
      <c r="EK65" s="44"/>
      <c r="EL65" s="44"/>
      <c r="EM65" s="44" t="str">
        <f>IF(AND(EH65="*",OR(EI66="*",EJ66="*",EK66="*")), 1,"")</f>
        <v/>
      </c>
      <c r="EN65" s="44" t="str">
        <f>IF(AND(EH65="*",EL66="*"),1,"")</f>
        <v/>
      </c>
      <c r="EO65" s="44" t="str">
        <f>IF(AND(EL66="*", OR(EI65="*", EJ65="*",EK65="*")),1,"")</f>
        <v/>
      </c>
      <c r="EP65" s="44" t="str">
        <f>IF(AND(EH66="*",OR(EI65="*",EJ65="*",EK65="*",EL65="*")),1,IF(AND(EL65="*",OR(EH66="*",EI66="*",EJ66="*",EK66="*")),1,""))</f>
        <v/>
      </c>
      <c r="EQ65" s="44" t="str">
        <f>IF(AND(EI65="*",OR(EI66="*",EJ66="*",EK66="*")),1,IF(AND(EJ65="*",OR(EI66="*",EJ66="*",EK66="*")),1,IF(AND(EK65="*",OR(EI66="*",EJ66="*",EK66="*")),1,"")))</f>
        <v/>
      </c>
      <c r="ER65" s="44" t="str">
        <f>IF(AND(EH65="*",EH66="*"),1,"")</f>
        <v/>
      </c>
      <c r="ET65" s="44"/>
      <c r="EU65" s="44"/>
      <c r="EV65" s="44"/>
      <c r="EW65" s="44"/>
      <c r="EX65" s="44"/>
      <c r="EY65" s="44" t="str">
        <f>IF(AND(ET65="*",OR(EU66="*",EV66="*",EW66="*")), 1,"")</f>
        <v/>
      </c>
      <c r="EZ65" s="44" t="str">
        <f>IF(AND(ET65="*",EX66="*"),1,"")</f>
        <v/>
      </c>
      <c r="FA65" s="44" t="str">
        <f>IF(AND(EX66="*", OR(EU65="*", EV65="*",EW65="*")),1,"")</f>
        <v/>
      </c>
      <c r="FB65" s="44" t="str">
        <f>IF(AND(ET66="*",OR(EU65="*",EV65="*",EW65="*",EX65="*")),1,IF(AND(EX65="*",OR(ET66="*",EU66="*",EV66="*",EW66="*")),1,""))</f>
        <v/>
      </c>
      <c r="FC65" s="44" t="str">
        <f>IF(AND(EU65="*",OR(EU66="*",EV66="*",EW66="*")),1,IF(AND(EV65="*",OR(EU66="*",EV66="*",EW66="*")),1,IF(AND(EW65="*",OR(EU66="*",EV66="*",EW66="*")),1,"")))</f>
        <v/>
      </c>
      <c r="FD65" s="44" t="str">
        <f>IF(AND(ET65="*",ET66="*"),1,"")</f>
        <v/>
      </c>
      <c r="FF65" s="44"/>
      <c r="FG65" s="44"/>
      <c r="FH65" s="44"/>
      <c r="FI65" s="44"/>
      <c r="FJ65" s="44"/>
      <c r="FK65" s="44" t="str">
        <f>IF(AND(FF65="*",OR(FG66="*",FH66="*",FI66="*")), 1,"")</f>
        <v/>
      </c>
      <c r="FL65" s="44" t="str">
        <f>IF(AND(FF65="*",FJ66="*"),1,"")</f>
        <v/>
      </c>
      <c r="FM65" s="44" t="str">
        <f>IF(AND(FJ66="*", OR(FG65="*", FH65="*",FI65="*")),1,"")</f>
        <v/>
      </c>
      <c r="FN65" s="44" t="str">
        <f>IF(AND(FF66="*",OR(FG65="*",FH65="*",FI65="*",FJ65="*")),1,IF(AND(FJ65="*",OR(FF66="*",FG66="*",FH66="*",FI66="*")),1,""))</f>
        <v/>
      </c>
      <c r="FO65" s="44" t="str">
        <f>IF(AND(FG65="*",OR(FG66="*",FH66="*",FI66="*")),1,IF(AND(FH65="*",OR(FG66="*",FH66="*",FI66="*")),1,IF(AND(FI65="*",OR(FG66="*",FH66="*",FI66="*")),1,"")))</f>
        <v/>
      </c>
      <c r="FP65" s="44" t="str">
        <f>IF(AND(FF65="*",FF66="*"),1,"")</f>
        <v/>
      </c>
      <c r="FR65" s="44"/>
      <c r="FS65" s="44"/>
      <c r="FT65" s="44"/>
      <c r="FU65" s="44"/>
      <c r="FV65" s="44"/>
      <c r="FW65" s="44" t="str">
        <f>IF(AND(FR65="*",OR(FS66="*",FT66="*",FU66="*")), 1,"")</f>
        <v/>
      </c>
      <c r="FX65" s="44" t="str">
        <f>IF(AND(FR65="*",FV66="*"),1,"")</f>
        <v/>
      </c>
      <c r="FY65" s="44" t="str">
        <f>IF(AND(FV66="*", OR(FS65="*", FT65="*",FU65="*")),1,"")</f>
        <v/>
      </c>
      <c r="FZ65" s="44" t="str">
        <f>IF(AND(FR66="*",OR(FS65="*",FT65="*",FU65="*",FV65="*")),1,IF(AND(FV65="*",OR(FR66="*",FS66="*",FT66="*",FU66="*")),1,""))</f>
        <v/>
      </c>
      <c r="GA65" s="44" t="str">
        <f>IF(AND(FS65="*",OR(FS66="*",FT66="*",FU66="*")),1,IF(AND(FT65="*",OR(FS66="*",FT66="*",FU66="*")),1,IF(AND(FU65="*",OR(FS66="*",FT66="*",FU66="*")),1,"")))</f>
        <v/>
      </c>
      <c r="GB65" s="44" t="str">
        <f>IF(AND(FR65="*",FR66="*"),1,"")</f>
        <v/>
      </c>
      <c r="GD65" s="44"/>
      <c r="GE65" s="44"/>
      <c r="GF65" s="44"/>
      <c r="GG65" s="44"/>
      <c r="GH65" s="44"/>
      <c r="GI65" s="44"/>
      <c r="GJ65" s="44" t="str">
        <f>IF(AND(GD65="*",OR(GE66="*",GF66="*",GG66="*")), 1,"")</f>
        <v/>
      </c>
      <c r="GK65" s="44" t="str">
        <f>IF(AND(GD65="*",GH66="*"),1,"")</f>
        <v/>
      </c>
      <c r="GL65" s="44" t="str">
        <f>IF(AND(GH66="*", OR(GE65="*", GF65="*",GG65="*")),1,"")</f>
        <v/>
      </c>
      <c r="GM65" s="44" t="str">
        <f>IF(AND(GD66="*",OR(GE65="*",GF65="*",GG65="*",GH65="*")),1,IF(AND(GH65="*",OR(GD66="*",GE66="*",GF66="*",GG66="*")),1,""))</f>
        <v/>
      </c>
      <c r="GN65" s="44" t="str">
        <f>IF(AND(GE65="*",OR(GE66="*",GF66="*",GG66="*")),1,IF(AND(GF65="*",OR(GE66="*",GF66="*",GG66="*")),1,IF(AND(GG65="*",OR(GE66="*",GF66="*",GG66="*")),1,"")))</f>
        <v/>
      </c>
      <c r="GO65" s="44" t="str">
        <f>IF(AND(GD65="*",GD66="*"),1,"")</f>
        <v/>
      </c>
      <c r="GQ65" s="44"/>
      <c r="GR65" s="44"/>
      <c r="GS65" s="44"/>
      <c r="GT65" s="44"/>
      <c r="GU65" s="44"/>
      <c r="GV65" s="44" t="str">
        <f>IF(AND(GQ65="*",OR(GR66="*",GS66="*",GT66="*")), 1,"")</f>
        <v/>
      </c>
      <c r="GW65" s="44" t="str">
        <f>IF(AND(GQ65="*",GU66="*"),1,"")</f>
        <v/>
      </c>
      <c r="GX65" s="44" t="str">
        <f>IF(AND(GU66="*", OR(GR65="*", GS65="*",GT65="*")),1,"")</f>
        <v/>
      </c>
      <c r="GY65" s="44" t="str">
        <f>IF(AND(GQ66="*",OR(GR65="*",GS65="*",GT65="*",GU65="*")),1,IF(AND(GU65="*",OR(GQ66="*",GR66="*",GS66="*",GT66="*")),1,""))</f>
        <v/>
      </c>
      <c r="GZ65" s="44" t="str">
        <f>IF(AND(GR65="*",OR(GR66="*",GS66="*",GT66="*")),1,IF(AND(GS65="*",OR(GR66="*",GS66="*",GT66="*")),1,IF(AND(GT65="*",OR(GR66="*",GS66="*",GT66="*")),1,"")))</f>
        <v/>
      </c>
      <c r="HA65" s="44" t="str">
        <f>IF(AND(GQ65="*",GQ66="*"),1,"")</f>
        <v/>
      </c>
      <c r="HC65" s="44"/>
      <c r="HD65" s="44"/>
      <c r="HE65" s="44"/>
      <c r="HF65" s="44"/>
      <c r="HG65" s="44"/>
      <c r="HH65" s="44" t="str">
        <f>IF(AND(HC65="*",OR(HD66="*",HE66="*",HF66="*")), 1,"")</f>
        <v/>
      </c>
      <c r="HI65" s="44" t="str">
        <f>IF(AND(HC65="*",HG66="*"),1,"")</f>
        <v/>
      </c>
      <c r="HJ65" s="44" t="str">
        <f>IF(AND(HG66="*", OR(HD65="*", HE65="*",HF65="*")),1,"")</f>
        <v/>
      </c>
      <c r="HK65" s="44" t="str">
        <f>IF(AND(HC66="*",OR(HD65="*",HE65="*",HF65="*",HG65="*")),1,IF(AND(HG65="*",OR(HC66="*",HD66="*",HE66="*",HF66="*")),1,""))</f>
        <v/>
      </c>
      <c r="HL65" s="44" t="str">
        <f>IF(AND(HD65="*",OR(HD66="*",HE66="*",HF66="*")),1,IF(AND(HE65="*",OR(HD66="*",HE66="*",HF66="*")),1,IF(AND(HF65="*",OR(HD66="*",HE66="*",HF66="*")),1,"")))</f>
        <v/>
      </c>
      <c r="HM65" s="44" t="str">
        <f>IF(AND(HC65="*",HC66="*"),1,"")</f>
        <v/>
      </c>
      <c r="HO65" s="44"/>
      <c r="HP65" s="44"/>
      <c r="HQ65" s="44"/>
      <c r="HR65" s="44"/>
      <c r="HS65" s="44"/>
      <c r="HT65" s="44" t="str">
        <f>IF(AND(HO65="*",OR(HP66="*",HQ66="*",HR66="*")), 1,"")</f>
        <v/>
      </c>
      <c r="HU65" s="44" t="str">
        <f>IF(AND(HO65="*",HS66="*"),1,"")</f>
        <v/>
      </c>
      <c r="HV65" s="44" t="str">
        <f>IF(AND(HS66="*", OR(HP65="*", HQ65="*",HR65="*")),1,"")</f>
        <v/>
      </c>
      <c r="HW65" s="44" t="str">
        <f>IF(AND(HO66="*",OR(HP65="*",HQ65="*",HR65="*",HS65="*")),1,IF(AND(HS65="*",OR(HO66="*",HP66="*",HQ66="*",HR66="*")),1,""))</f>
        <v/>
      </c>
      <c r="HX65" s="44" t="str">
        <f>IF(AND(HP65="*",OR(HP66="*",HQ66="*",HR66="*")),1,IF(AND(HQ65="*",OR(HP66="*",HQ66="*",HR66="*")),1,IF(AND(HR65="*",OR(HP66="*",HQ66="*",HR66="*")),1,"")))</f>
        <v/>
      </c>
      <c r="HY65" s="44" t="str">
        <f>IF(AND(HO65="*",HO66="*"),1,"")</f>
        <v/>
      </c>
      <c r="IA65" s="44"/>
      <c r="IB65" s="44"/>
      <c r="IC65" s="44"/>
      <c r="ID65" s="44"/>
      <c r="IE65" s="44"/>
      <c r="IF65" s="44" t="str">
        <f>IF(AND(IA65="*",OR(IB66="*",IC66="*",ID66="*")), 1,"")</f>
        <v/>
      </c>
      <c r="IG65" s="44" t="str">
        <f>IF(AND(IA65="*",IE66="*"),1,"")</f>
        <v/>
      </c>
      <c r="IH65" s="44" t="str">
        <f>IF(AND(IE66="*", OR(IB65="*", IC65="*",ID65="*")),1,"")</f>
        <v/>
      </c>
      <c r="II65" s="44" t="str">
        <f>IF(AND(IA66="*",OR(IB65="*",IC65="*",ID65="*",IE65="*")),1,IF(AND(IE65="*",OR(IA66="*",IB66="*",IC66="*",ID66="*")),1,""))</f>
        <v/>
      </c>
      <c r="IJ65" s="44" t="str">
        <f>IF(AND(IB65="*",OR(IB66="*",IC66="*",ID66="*")),1,IF(AND(IC65="*",OR(IB66="*",IC66="*",ID66="*")),1,IF(AND(ID65="*",OR(IB66="*",IC66="*",ID66="*")),1,"")))</f>
        <v/>
      </c>
      <c r="IK65" s="44" t="str">
        <f>IF(AND(IA65="*",IA66="*"),1,"")</f>
        <v/>
      </c>
      <c r="IL65" s="44">
        <f>COUNT(J65,V65,AH65,AT65,BF65,BS65,CE65,CQ65,DC65,DO65,EA65,EM65,EY65,FK65,FW65,GJ65,GV65,HH65,HT65,IF65)</f>
        <v>0</v>
      </c>
      <c r="IM65" s="44">
        <f t="shared" ref="IM65:IQ65" si="31">COUNT(K65,W65,AI65,AU65,BG65,BT65,CF65,CR65,DD65,DP65,EB65,EN65,EZ65,FL65,FX65,GK65,GW65,HI65,HU65,IG65)</f>
        <v>0</v>
      </c>
      <c r="IN65" s="44">
        <f t="shared" si="31"/>
        <v>0</v>
      </c>
      <c r="IO65" s="44">
        <f t="shared" si="31"/>
        <v>0</v>
      </c>
      <c r="IP65" s="44">
        <f t="shared" si="31"/>
        <v>0</v>
      </c>
      <c r="IQ65" s="44">
        <f t="shared" si="31"/>
        <v>0</v>
      </c>
    </row>
    <row r="66" spans="2:251" ht="15" customHeight="1" x14ac:dyDescent="0.4">
      <c r="B66" s="273"/>
      <c r="C66" s="275"/>
      <c r="D66" s="42" t="s">
        <v>52</v>
      </c>
      <c r="E66" s="44"/>
      <c r="F66" s="44"/>
      <c r="G66" s="44"/>
      <c r="H66" s="44"/>
      <c r="I66" s="44"/>
      <c r="J66" s="43"/>
      <c r="K66" s="43"/>
      <c r="L66" s="43"/>
      <c r="M66" s="43"/>
      <c r="N66" s="43"/>
      <c r="O66" s="43"/>
      <c r="Q66" s="44"/>
      <c r="R66" s="44"/>
      <c r="S66" s="44"/>
      <c r="T66" s="44"/>
      <c r="U66" s="44"/>
      <c r="V66" s="43"/>
      <c r="W66" s="43"/>
      <c r="X66" s="43"/>
      <c r="Y66" s="43"/>
      <c r="Z66" s="43"/>
      <c r="AA66" s="43"/>
      <c r="AC66" s="44"/>
      <c r="AD66" s="44"/>
      <c r="AE66" s="44"/>
      <c r="AF66" s="44"/>
      <c r="AG66" s="44"/>
      <c r="AH66" s="43"/>
      <c r="AI66" s="43"/>
      <c r="AJ66" s="43"/>
      <c r="AK66" s="43"/>
      <c r="AL66" s="43"/>
      <c r="AM66" s="43"/>
      <c r="AO66" s="44"/>
      <c r="AP66" s="44"/>
      <c r="AQ66" s="44"/>
      <c r="AR66" s="44"/>
      <c r="AS66" s="44"/>
      <c r="AT66" s="43"/>
      <c r="AU66" s="43"/>
      <c r="AV66" s="43"/>
      <c r="AW66" s="43"/>
      <c r="AX66" s="43"/>
      <c r="AY66" s="43"/>
      <c r="BA66" s="44"/>
      <c r="BB66" s="44"/>
      <c r="BC66" s="44"/>
      <c r="BD66" s="44"/>
      <c r="BE66" s="44"/>
      <c r="BF66" s="43"/>
      <c r="BG66" s="43"/>
      <c r="BH66" s="43"/>
      <c r="BI66" s="43"/>
      <c r="BJ66" s="43"/>
      <c r="BK66" s="43"/>
      <c r="BM66" s="44"/>
      <c r="BN66" s="44"/>
      <c r="BO66" s="44"/>
      <c r="BP66" s="44"/>
      <c r="BQ66" s="44"/>
      <c r="BR66" s="44"/>
      <c r="BS66" s="43"/>
      <c r="BT66" s="43"/>
      <c r="BU66" s="43"/>
      <c r="BV66" s="43"/>
      <c r="BW66" s="43"/>
      <c r="BX66" s="43"/>
      <c r="BZ66" s="44"/>
      <c r="CA66" s="44"/>
      <c r="CB66" s="44"/>
      <c r="CC66" s="44"/>
      <c r="CD66" s="44"/>
      <c r="CE66" s="43"/>
      <c r="CF66" s="43"/>
      <c r="CG66" s="43"/>
      <c r="CH66" s="43"/>
      <c r="CI66" s="43"/>
      <c r="CJ66" s="43"/>
      <c r="CL66" s="44"/>
      <c r="CM66" s="44"/>
      <c r="CN66" s="44"/>
      <c r="CO66" s="44"/>
      <c r="CP66" s="44"/>
      <c r="CQ66" s="43"/>
      <c r="CR66" s="43"/>
      <c r="CS66" s="43"/>
      <c r="CT66" s="43"/>
      <c r="CU66" s="43"/>
      <c r="CV66" s="43"/>
      <c r="CX66" s="44"/>
      <c r="CY66" s="44"/>
      <c r="CZ66" s="44"/>
      <c r="DA66" s="44"/>
      <c r="DB66" s="44"/>
      <c r="DC66" s="43"/>
      <c r="DD66" s="43"/>
      <c r="DE66" s="43"/>
      <c r="DF66" s="43"/>
      <c r="DG66" s="43"/>
      <c r="DH66" s="43"/>
      <c r="DJ66" s="44"/>
      <c r="DK66" s="44"/>
      <c r="DL66" s="44"/>
      <c r="DM66" s="44"/>
      <c r="DN66" s="44"/>
      <c r="DO66" s="43"/>
      <c r="DP66" s="43"/>
      <c r="DQ66" s="43"/>
      <c r="DR66" s="43"/>
      <c r="DS66" s="43"/>
      <c r="DT66" s="43"/>
      <c r="DV66" s="44"/>
      <c r="DW66" s="44"/>
      <c r="DX66" s="44"/>
      <c r="DY66" s="44"/>
      <c r="DZ66" s="44"/>
      <c r="EA66" s="43"/>
      <c r="EB66" s="43"/>
      <c r="EC66" s="43"/>
      <c r="ED66" s="43"/>
      <c r="EE66" s="43"/>
      <c r="EF66" s="43"/>
      <c r="EH66" s="44"/>
      <c r="EI66" s="44"/>
      <c r="EJ66" s="44"/>
      <c r="EK66" s="44"/>
      <c r="EL66" s="44"/>
      <c r="EM66" s="43"/>
      <c r="EN66" s="43"/>
      <c r="EO66" s="43"/>
      <c r="EP66" s="43"/>
      <c r="EQ66" s="43"/>
      <c r="ER66" s="43"/>
      <c r="ET66" s="44"/>
      <c r="EU66" s="44"/>
      <c r="EV66" s="44"/>
      <c r="EW66" s="44"/>
      <c r="EX66" s="44"/>
      <c r="EY66" s="43"/>
      <c r="EZ66" s="43"/>
      <c r="FA66" s="43"/>
      <c r="FB66" s="43"/>
      <c r="FC66" s="43"/>
      <c r="FD66" s="43"/>
      <c r="FF66" s="44"/>
      <c r="FG66" s="44"/>
      <c r="FH66" s="44"/>
      <c r="FI66" s="44"/>
      <c r="FJ66" s="44"/>
      <c r="FK66" s="43"/>
      <c r="FL66" s="43"/>
      <c r="FM66" s="43"/>
      <c r="FN66" s="43"/>
      <c r="FO66" s="43"/>
      <c r="FP66" s="43"/>
      <c r="FR66" s="44"/>
      <c r="FS66" s="44"/>
      <c r="FT66" s="44"/>
      <c r="FU66" s="44"/>
      <c r="FV66" s="44"/>
      <c r="FW66" s="43"/>
      <c r="FX66" s="43"/>
      <c r="FY66" s="43"/>
      <c r="FZ66" s="43"/>
      <c r="GA66" s="43"/>
      <c r="GB66" s="43"/>
      <c r="GD66" s="44"/>
      <c r="GE66" s="44"/>
      <c r="GF66" s="44"/>
      <c r="GG66" s="44"/>
      <c r="GH66" s="44"/>
      <c r="GI66" s="44"/>
      <c r="GJ66" s="43"/>
      <c r="GK66" s="43"/>
      <c r="GL66" s="43"/>
      <c r="GM66" s="43"/>
      <c r="GN66" s="43"/>
      <c r="GO66" s="43"/>
      <c r="GQ66" s="44"/>
      <c r="GR66" s="44"/>
      <c r="GS66" s="44"/>
      <c r="GT66" s="44"/>
      <c r="GU66" s="44"/>
      <c r="GV66" s="43"/>
      <c r="GW66" s="43"/>
      <c r="GX66" s="43"/>
      <c r="GY66" s="43"/>
      <c r="GZ66" s="43"/>
      <c r="HA66" s="43"/>
      <c r="HC66" s="44"/>
      <c r="HD66" s="44"/>
      <c r="HE66" s="44"/>
      <c r="HF66" s="44"/>
      <c r="HG66" s="44"/>
      <c r="HH66" s="43"/>
      <c r="HI66" s="43"/>
      <c r="HJ66" s="43"/>
      <c r="HK66" s="43"/>
      <c r="HL66" s="43"/>
      <c r="HM66" s="43"/>
      <c r="HO66" s="44"/>
      <c r="HP66" s="44"/>
      <c r="HQ66" s="44"/>
      <c r="HR66" s="44"/>
      <c r="HS66" s="44"/>
      <c r="HT66" s="43"/>
      <c r="HU66" s="43"/>
      <c r="HV66" s="43"/>
      <c r="HW66" s="43"/>
      <c r="HX66" s="43"/>
      <c r="HY66" s="43"/>
      <c r="IA66" s="44"/>
      <c r="IB66" s="44"/>
      <c r="IC66" s="44"/>
      <c r="ID66" s="44"/>
      <c r="IE66" s="44"/>
      <c r="IF66" s="43"/>
      <c r="IG66" s="43"/>
      <c r="IH66" s="43"/>
      <c r="II66" s="43"/>
      <c r="IJ66" s="43"/>
      <c r="IK66" s="43"/>
    </row>
    <row r="67" spans="2:251" ht="15" customHeight="1" x14ac:dyDescent="0.4">
      <c r="B67" s="276">
        <v>33</v>
      </c>
      <c r="C67" s="278">
        <f>고객요구사항도출표!C37</f>
        <v>0</v>
      </c>
      <c r="D67" s="40" t="s">
        <v>55</v>
      </c>
      <c r="E67" s="41"/>
      <c r="F67" s="41"/>
      <c r="G67" s="41"/>
      <c r="H67" s="41"/>
      <c r="I67" s="41"/>
      <c r="J67" s="41" t="str">
        <f>IF(AND(E67="*",OR(F68="*",G68="*",H68="*")), 1,"")</f>
        <v/>
      </c>
      <c r="K67" s="41" t="str">
        <f>IF(AND(E67="*",I68="*"),1,"")</f>
        <v/>
      </c>
      <c r="L67" s="41" t="str">
        <f>IF(AND(I68="*", OR(F67="*", G67="*",H67="*")),1,"")</f>
        <v/>
      </c>
      <c r="M67" s="41" t="str">
        <f>IF(AND(E68="*",OR(F67="*",G67="*",H67="*",I67="*")),1,IF(AND(I67="*",OR(E68="*",F68="*",G68="*",H68="*")),1,""))</f>
        <v/>
      </c>
      <c r="N67" s="41" t="str">
        <f>IF(AND(F67="*",OR(F68="*",G68="*",H68="*")),1,IF(AND(G67="*",OR(F68="*",G68="*",H68="*")),1,IF(AND(H67="*",OR(F68="*",G68="*",H68="*")),1,"")))</f>
        <v/>
      </c>
      <c r="O67" s="41" t="str">
        <f>IF(AND(E67="*",E68="*"),1,"")</f>
        <v/>
      </c>
      <c r="Q67" s="41"/>
      <c r="R67" s="41"/>
      <c r="S67" s="41"/>
      <c r="T67" s="41"/>
      <c r="U67" s="41"/>
      <c r="V67" s="41" t="str">
        <f>IF(AND(Q67="*",OR(R68="*",S68="*",T68="*")), 1,"")</f>
        <v/>
      </c>
      <c r="W67" s="41" t="str">
        <f>IF(AND(Q67="*",U68="*"),1,"")</f>
        <v/>
      </c>
      <c r="X67" s="41" t="str">
        <f>IF(AND(U68="*", OR(R67="*", S67="*",T67="*")),1,"")</f>
        <v/>
      </c>
      <c r="Y67" s="41" t="str">
        <f>IF(AND(Q68="*",OR(R67="*",S67="*",T67="*",U67="*")),1,IF(AND(U67="*",OR(Q68="*",R68="*",S68="*",T68="*")),1,""))</f>
        <v/>
      </c>
      <c r="Z67" s="41" t="str">
        <f>IF(AND(R67="*",OR(R68="*",S68="*",T68="*")),1,IF(AND(S67="*",OR(R68="*",S68="*",T68="*")),1,IF(AND(T67="*",OR(R68="*",S68="*",T68="*")),1,"")))</f>
        <v/>
      </c>
      <c r="AA67" s="41" t="str">
        <f>IF(AND(Q67="*",Q68="*"),1,"")</f>
        <v/>
      </c>
      <c r="AC67" s="41"/>
      <c r="AD67" s="41"/>
      <c r="AE67" s="41"/>
      <c r="AF67" s="41"/>
      <c r="AG67" s="41"/>
      <c r="AH67" s="41" t="str">
        <f>IF(AND(AC67="*",OR(AD68="*",AE68="*",AF68="*")), 1,"")</f>
        <v/>
      </c>
      <c r="AI67" s="41" t="str">
        <f>IF(AND(AC67="*",AG68="*"),1,"")</f>
        <v/>
      </c>
      <c r="AJ67" s="41" t="str">
        <f>IF(AND(AG68="*", OR(AD67="*", AE67="*",AF67="*")),1,"")</f>
        <v/>
      </c>
      <c r="AK67" s="41" t="str">
        <f>IF(AND(AC68="*",OR(AD67="*",AE67="*",AF67="*",AG67="*")),1,IF(AND(AG67="*",OR(AC68="*",AD68="*",AE68="*",AF68="*")),1,""))</f>
        <v/>
      </c>
      <c r="AL67" s="41" t="str">
        <f>IF(AND(AD67="*",OR(AD68="*",AE68="*",AF68="*")),1,IF(AND(AE67="*",OR(AD68="*",AE68="*",AF68="*")),1,IF(AND(AF67="*",OR(AD68="*",AE68="*",AF68="*")),1,"")))</f>
        <v/>
      </c>
      <c r="AM67" s="41" t="str">
        <f>IF(AND(AC67="*",AC68="*"),1,"")</f>
        <v/>
      </c>
      <c r="AO67" s="41"/>
      <c r="AP67" s="41"/>
      <c r="AQ67" s="41"/>
      <c r="AR67" s="41"/>
      <c r="AS67" s="41"/>
      <c r="AT67" s="41" t="str">
        <f>IF(AND(AO67="*",OR(AP68="*",AQ68="*",AR68="*")), 1,"")</f>
        <v/>
      </c>
      <c r="AU67" s="41" t="str">
        <f>IF(AND(AO67="*",AS68="*"),1,"")</f>
        <v/>
      </c>
      <c r="AV67" s="41" t="str">
        <f>IF(AND(AS68="*", OR(AP67="*", AQ67="*",AR67="*")),1,"")</f>
        <v/>
      </c>
      <c r="AW67" s="41" t="str">
        <f>IF(AND(AO68="*",OR(AP67="*",AQ67="*",AR67="*",AS67="*")),1,IF(AND(AS67="*",OR(AO68="*",AP68="*",AQ68="*",AR68="*")),1,""))</f>
        <v/>
      </c>
      <c r="AX67" s="41" t="str">
        <f>IF(AND(AP67="*",OR(AP68="*",AQ68="*",AR68="*")),1,IF(AND(AQ67="*",OR(AP68="*",AQ68="*",AR68="*")),1,IF(AND(AR67="*",OR(AP68="*",AQ68="*",AR68="*")),1,"")))</f>
        <v/>
      </c>
      <c r="AY67" s="41" t="str">
        <f>IF(AND(AO67="*",AO68="*"),1,"")</f>
        <v/>
      </c>
      <c r="BA67" s="41"/>
      <c r="BB67" s="41"/>
      <c r="BC67" s="41"/>
      <c r="BD67" s="41"/>
      <c r="BE67" s="41"/>
      <c r="BF67" s="41" t="str">
        <f>IF(AND(BA67="*",OR(BB68="*",BC68="*",BD68="*")), 1,"")</f>
        <v/>
      </c>
      <c r="BG67" s="41" t="str">
        <f>IF(AND(BA67="*",BE68="*"),1,"")</f>
        <v/>
      </c>
      <c r="BH67" s="41" t="str">
        <f>IF(AND(BE68="*", OR(BB67="*", BC67="*",BD67="*")),1,"")</f>
        <v/>
      </c>
      <c r="BI67" s="41" t="str">
        <f>IF(AND(BA68="*",OR(BB67="*",BC67="*",BD67="*",BE67="*")),1,IF(AND(BE67="*",OR(BA68="*",BB68="*",BC68="*",BD68="*")),1,""))</f>
        <v/>
      </c>
      <c r="BJ67" s="41" t="str">
        <f>IF(AND(BB67="*",OR(BB68="*",BC68="*",BD68="*")),1,IF(AND(BC67="*",OR(BB68="*",BC68="*",BD68="*")),1,IF(AND(BD67="*",OR(BB68="*",BC68="*",BD68="*")),1,"")))</f>
        <v/>
      </c>
      <c r="BK67" s="41" t="str">
        <f>IF(AND(BA67="*",BA68="*"),1,"")</f>
        <v/>
      </c>
      <c r="BM67" s="41"/>
      <c r="BN67" s="41"/>
      <c r="BO67" s="41"/>
      <c r="BP67" s="41"/>
      <c r="BQ67" s="41"/>
      <c r="BR67" s="41"/>
      <c r="BS67" s="41" t="str">
        <f>IF(AND(BM67="*",OR(BN68="*",BO68="*",BP68="*")), 1,"")</f>
        <v/>
      </c>
      <c r="BT67" s="41" t="str">
        <f>IF(AND(BM67="*",BQ68="*"),1,"")</f>
        <v/>
      </c>
      <c r="BU67" s="41" t="str">
        <f>IF(AND(BQ68="*", OR(BN67="*", BO67="*",BP67="*")),1,"")</f>
        <v/>
      </c>
      <c r="BV67" s="41" t="str">
        <f>IF(AND(BM68="*",OR(BN67="*",BO67="*",BP67="*",BQ67="*")),1,IF(AND(BQ67="*",OR(BM68="*",BN68="*",BO68="*",BP68="*")),1,""))</f>
        <v/>
      </c>
      <c r="BW67" s="41" t="str">
        <f>IF(AND(BN67="*",OR(BN68="*",BO68="*",BP68="*")),1,IF(AND(BO67="*",OR(BN68="*",BO68="*",BP68="*")),1,IF(AND(BP67="*",OR(BN68="*",BO68="*",BP68="*")),1,"")))</f>
        <v/>
      </c>
      <c r="BX67" s="41" t="str">
        <f>IF(AND(BM67="*",BM68="*"),1,"")</f>
        <v/>
      </c>
      <c r="BZ67" s="41"/>
      <c r="CA67" s="41"/>
      <c r="CB67" s="41"/>
      <c r="CC67" s="41"/>
      <c r="CD67" s="41"/>
      <c r="CE67" s="41" t="str">
        <f>IF(AND(BZ67="*",OR(CA68="*",CB68="*",CC68="*")), 1,"")</f>
        <v/>
      </c>
      <c r="CF67" s="41" t="str">
        <f>IF(AND(BZ67="*",CD68="*"),1,"")</f>
        <v/>
      </c>
      <c r="CG67" s="41" t="str">
        <f>IF(AND(CD68="*", OR(CA67="*", CB67="*",CC67="*")),1,"")</f>
        <v/>
      </c>
      <c r="CH67" s="41" t="str">
        <f>IF(AND(BZ68="*",OR(CA67="*",CB67="*",CC67="*",CD67="*")),1,IF(AND(CD67="*",OR(BZ68="*",CA68="*",CB68="*",CC68="*")),1,""))</f>
        <v/>
      </c>
      <c r="CI67" s="41" t="str">
        <f>IF(AND(CA67="*",OR(CA68="*",CB68="*",CC68="*")),1,IF(AND(CB67="*",OR(CA68="*",CB68="*",CC68="*")),1,IF(AND(CC67="*",OR(CA68="*",CB68="*",CC68="*")),1,"")))</f>
        <v/>
      </c>
      <c r="CJ67" s="41" t="str">
        <f>IF(AND(BZ67="*",BZ68="*"),1,"")</f>
        <v/>
      </c>
      <c r="CL67" s="41"/>
      <c r="CM67" s="41"/>
      <c r="CN67" s="41"/>
      <c r="CO67" s="41"/>
      <c r="CP67" s="41"/>
      <c r="CQ67" s="41" t="str">
        <f>IF(AND(CL67="*",OR(CM68="*",CN68="*",CO68="*")), 1,"")</f>
        <v/>
      </c>
      <c r="CR67" s="41" t="str">
        <f>IF(AND(CL67="*",CP68="*"),1,"")</f>
        <v/>
      </c>
      <c r="CS67" s="41" t="str">
        <f>IF(AND(CP68="*", OR(CM67="*", CN67="*",CO67="*")),1,"")</f>
        <v/>
      </c>
      <c r="CT67" s="41" t="str">
        <f>IF(AND(CL68="*",OR(CM67="*",CN67="*",CO67="*",CP67="*")),1,IF(AND(CP67="*",OR(CL68="*",CM68="*",CN68="*",CO68="*")),1,""))</f>
        <v/>
      </c>
      <c r="CU67" s="41" t="str">
        <f>IF(AND(CM67="*",OR(CM68="*",CN68="*",CO68="*")),1,IF(AND(CN67="*",OR(CM68="*",CN68="*",CO68="*")),1,IF(AND(CO67="*",OR(CM68="*",CN68="*",CO68="*")),1,"")))</f>
        <v/>
      </c>
      <c r="CV67" s="41" t="str">
        <f>IF(AND(CL67="*",CL68="*"),1,"")</f>
        <v/>
      </c>
      <c r="CX67" s="41"/>
      <c r="CY67" s="41"/>
      <c r="CZ67" s="41"/>
      <c r="DA67" s="41"/>
      <c r="DB67" s="41"/>
      <c r="DC67" s="41" t="str">
        <f>IF(AND(CX67="*",OR(CY68="*",CZ68="*",DA68="*")), 1,"")</f>
        <v/>
      </c>
      <c r="DD67" s="41" t="str">
        <f>IF(AND(CX67="*",DB68="*"),1,"")</f>
        <v/>
      </c>
      <c r="DE67" s="41" t="str">
        <f>IF(AND(DB68="*", OR(CY67="*", CZ67="*",DA67="*")),1,"")</f>
        <v/>
      </c>
      <c r="DF67" s="41" t="str">
        <f>IF(AND(CX68="*",OR(CY67="*",CZ67="*",DA67="*",DB67="*")),1,IF(AND(DB67="*",OR(CX68="*",CY68="*",CZ68="*",DA68="*")),1,""))</f>
        <v/>
      </c>
      <c r="DG67" s="41" t="str">
        <f>IF(AND(CY67="*",OR(CY68="*",CZ68="*",DA68="*")),1,IF(AND(CZ67="*",OR(CY68="*",CZ68="*",DA68="*")),1,IF(AND(DA67="*",OR(CY68="*",CZ68="*",DA68="*")),1,"")))</f>
        <v/>
      </c>
      <c r="DH67" s="41" t="str">
        <f>IF(AND(CX67="*",CX68="*"),1,"")</f>
        <v/>
      </c>
      <c r="DJ67" s="41"/>
      <c r="DK67" s="41"/>
      <c r="DL67" s="41"/>
      <c r="DM67" s="41"/>
      <c r="DN67" s="41"/>
      <c r="DO67" s="41" t="str">
        <f>IF(AND(DJ67="*",OR(DK68="*",DL68="*",DM68="*")), 1,"")</f>
        <v/>
      </c>
      <c r="DP67" s="41" t="str">
        <f>IF(AND(DJ67="*",DN68="*"),1,"")</f>
        <v/>
      </c>
      <c r="DQ67" s="41" t="str">
        <f>IF(AND(DN68="*", OR(DK67="*", DL67="*",DM67="*")),1,"")</f>
        <v/>
      </c>
      <c r="DR67" s="41" t="str">
        <f>IF(AND(DJ68="*",OR(DK67="*",DL67="*",DM67="*",DN67="*")),1,IF(AND(DN67="*",OR(DJ68="*",DK68="*",DL68="*",DM68="*")),1,""))</f>
        <v/>
      </c>
      <c r="DS67" s="41" t="str">
        <f>IF(AND(DK67="*",OR(DK68="*",DL68="*",DM68="*")),1,IF(AND(DL67="*",OR(DK68="*",DL68="*",DM68="*")),1,IF(AND(DM67="*",OR(DK68="*",DL68="*",DM68="*")),1,"")))</f>
        <v/>
      </c>
      <c r="DT67" s="41" t="str">
        <f>IF(AND(DJ67="*",DJ68="*"),1,"")</f>
        <v/>
      </c>
      <c r="DV67" s="41"/>
      <c r="DW67" s="41"/>
      <c r="DX67" s="41"/>
      <c r="DY67" s="41"/>
      <c r="DZ67" s="41"/>
      <c r="EA67" s="41" t="str">
        <f>IF(AND(DV67="*",OR(DW68="*",DX68="*",DY68="*")), 1,"")</f>
        <v/>
      </c>
      <c r="EB67" s="41" t="str">
        <f>IF(AND(DV67="*",DZ68="*"),1,"")</f>
        <v/>
      </c>
      <c r="EC67" s="41" t="str">
        <f>IF(AND(DZ68="*", OR(DW67="*", DX67="*",DY67="*")),1,"")</f>
        <v/>
      </c>
      <c r="ED67" s="41" t="str">
        <f>IF(AND(DV68="*",OR(DW67="*",DX67="*",DY67="*",DZ67="*")),1,IF(AND(DZ67="*",OR(DV68="*",DW68="*",DX68="*",DY68="*")),1,""))</f>
        <v/>
      </c>
      <c r="EE67" s="41" t="str">
        <f>IF(AND(DW67="*",OR(DW68="*",DX68="*",DY68="*")),1,IF(AND(DX67="*",OR(DW68="*",DX68="*",DY68="*")),1,IF(AND(DY67="*",OR(DW68="*",DX68="*",DY68="*")),1,"")))</f>
        <v/>
      </c>
      <c r="EF67" s="41" t="str">
        <f>IF(AND(DV67="*",DV68="*"),1,"")</f>
        <v/>
      </c>
      <c r="EH67" s="41"/>
      <c r="EI67" s="41"/>
      <c r="EJ67" s="41"/>
      <c r="EK67" s="41"/>
      <c r="EL67" s="41"/>
      <c r="EM67" s="41" t="str">
        <f>IF(AND(EH67="*",OR(EI68="*",EJ68="*",EK68="*")), 1,"")</f>
        <v/>
      </c>
      <c r="EN67" s="41" t="str">
        <f>IF(AND(EH67="*",EL68="*"),1,"")</f>
        <v/>
      </c>
      <c r="EO67" s="41" t="str">
        <f>IF(AND(EL68="*", OR(EI67="*", EJ67="*",EK67="*")),1,"")</f>
        <v/>
      </c>
      <c r="EP67" s="41" t="str">
        <f>IF(AND(EH68="*",OR(EI67="*",EJ67="*",EK67="*",EL67="*")),1,IF(AND(EL67="*",OR(EH68="*",EI68="*",EJ68="*",EK68="*")),1,""))</f>
        <v/>
      </c>
      <c r="EQ67" s="41" t="str">
        <f>IF(AND(EI67="*",OR(EI68="*",EJ68="*",EK68="*")),1,IF(AND(EJ67="*",OR(EI68="*",EJ68="*",EK68="*")),1,IF(AND(EK67="*",OR(EI68="*",EJ68="*",EK68="*")),1,"")))</f>
        <v/>
      </c>
      <c r="ER67" s="41" t="str">
        <f>IF(AND(EH67="*",EH68="*"),1,"")</f>
        <v/>
      </c>
      <c r="ET67" s="41"/>
      <c r="EU67" s="41"/>
      <c r="EV67" s="41"/>
      <c r="EW67" s="41"/>
      <c r="EX67" s="41"/>
      <c r="EY67" s="41" t="str">
        <f>IF(AND(ET67="*",OR(EU68="*",EV68="*",EW68="*")), 1,"")</f>
        <v/>
      </c>
      <c r="EZ67" s="41" t="str">
        <f>IF(AND(ET67="*",EX68="*"),1,"")</f>
        <v/>
      </c>
      <c r="FA67" s="41" t="str">
        <f>IF(AND(EX68="*", OR(EU67="*", EV67="*",EW67="*")),1,"")</f>
        <v/>
      </c>
      <c r="FB67" s="41" t="str">
        <f>IF(AND(ET68="*",OR(EU67="*",EV67="*",EW67="*",EX67="*")),1,IF(AND(EX67="*",OR(ET68="*",EU68="*",EV68="*",EW68="*")),1,""))</f>
        <v/>
      </c>
      <c r="FC67" s="41" t="str">
        <f>IF(AND(EU67="*",OR(EU68="*",EV68="*",EW68="*")),1,IF(AND(EV67="*",OR(EU68="*",EV68="*",EW68="*")),1,IF(AND(EW67="*",OR(EU68="*",EV68="*",EW68="*")),1,"")))</f>
        <v/>
      </c>
      <c r="FD67" s="41" t="str">
        <f>IF(AND(ET67="*",ET68="*"),1,"")</f>
        <v/>
      </c>
      <c r="FF67" s="41"/>
      <c r="FG67" s="41"/>
      <c r="FH67" s="41"/>
      <c r="FI67" s="41"/>
      <c r="FJ67" s="41"/>
      <c r="FK67" s="41" t="str">
        <f>IF(AND(FF67="*",OR(FG68="*",FH68="*",FI68="*")), 1,"")</f>
        <v/>
      </c>
      <c r="FL67" s="41" t="str">
        <f>IF(AND(FF67="*",FJ68="*"),1,"")</f>
        <v/>
      </c>
      <c r="FM67" s="41" t="str">
        <f>IF(AND(FJ68="*", OR(FG67="*", FH67="*",FI67="*")),1,"")</f>
        <v/>
      </c>
      <c r="FN67" s="41" t="str">
        <f>IF(AND(FF68="*",OR(FG67="*",FH67="*",FI67="*",FJ67="*")),1,IF(AND(FJ67="*",OR(FF68="*",FG68="*",FH68="*",FI68="*")),1,""))</f>
        <v/>
      </c>
      <c r="FO67" s="41" t="str">
        <f>IF(AND(FG67="*",OR(FG68="*",FH68="*",FI68="*")),1,IF(AND(FH67="*",OR(FG68="*",FH68="*",FI68="*")),1,IF(AND(FI67="*",OR(FG68="*",FH68="*",FI68="*")),1,"")))</f>
        <v/>
      </c>
      <c r="FP67" s="41" t="str">
        <f>IF(AND(FF67="*",FF68="*"),1,"")</f>
        <v/>
      </c>
      <c r="FR67" s="41"/>
      <c r="FS67" s="41"/>
      <c r="FT67" s="41"/>
      <c r="FU67" s="41"/>
      <c r="FV67" s="41"/>
      <c r="FW67" s="41" t="str">
        <f>IF(AND(FR67="*",OR(FS68="*",FT68="*",FU68="*")), 1,"")</f>
        <v/>
      </c>
      <c r="FX67" s="41" t="str">
        <f>IF(AND(FR67="*",FV68="*"),1,"")</f>
        <v/>
      </c>
      <c r="FY67" s="41" t="str">
        <f>IF(AND(FV68="*", OR(FS67="*", FT67="*",FU67="*")),1,"")</f>
        <v/>
      </c>
      <c r="FZ67" s="41" t="str">
        <f>IF(AND(FR68="*",OR(FS67="*",FT67="*",FU67="*",FV67="*")),1,IF(AND(FV67="*",OR(FR68="*",FS68="*",FT68="*",FU68="*")),1,""))</f>
        <v/>
      </c>
      <c r="GA67" s="41" t="str">
        <f>IF(AND(FS67="*",OR(FS68="*",FT68="*",FU68="*")),1,IF(AND(FT67="*",OR(FS68="*",FT68="*",FU68="*")),1,IF(AND(FU67="*",OR(FS68="*",FT68="*",FU68="*")),1,"")))</f>
        <v/>
      </c>
      <c r="GB67" s="41" t="str">
        <f>IF(AND(FR67="*",FR68="*"),1,"")</f>
        <v/>
      </c>
      <c r="GD67" s="41"/>
      <c r="GE67" s="41"/>
      <c r="GF67" s="41"/>
      <c r="GG67" s="41"/>
      <c r="GH67" s="41"/>
      <c r="GI67" s="41"/>
      <c r="GJ67" s="41" t="str">
        <f>IF(AND(GD67="*",OR(GE68="*",GF68="*",GG68="*")), 1,"")</f>
        <v/>
      </c>
      <c r="GK67" s="41" t="str">
        <f>IF(AND(GD67="*",GH68="*"),1,"")</f>
        <v/>
      </c>
      <c r="GL67" s="41" t="str">
        <f>IF(AND(GH68="*", OR(GE67="*", GF67="*",GG67="*")),1,"")</f>
        <v/>
      </c>
      <c r="GM67" s="41" t="str">
        <f>IF(AND(GD68="*",OR(GE67="*",GF67="*",GG67="*",GH67="*")),1,IF(AND(GH67="*",OR(GD68="*",GE68="*",GF68="*",GG68="*")),1,""))</f>
        <v/>
      </c>
      <c r="GN67" s="41" t="str">
        <f>IF(AND(GE67="*",OR(GE68="*",GF68="*",GG68="*")),1,IF(AND(GF67="*",OR(GE68="*",GF68="*",GG68="*")),1,IF(AND(GG67="*",OR(GE68="*",GF68="*",GG68="*")),1,"")))</f>
        <v/>
      </c>
      <c r="GO67" s="41" t="str">
        <f>IF(AND(GD67="*",GD68="*"),1,"")</f>
        <v/>
      </c>
      <c r="GQ67" s="41"/>
      <c r="GR67" s="41"/>
      <c r="GS67" s="41"/>
      <c r="GT67" s="41"/>
      <c r="GU67" s="41"/>
      <c r="GV67" s="41" t="str">
        <f>IF(AND(GQ67="*",OR(GR68="*",GS68="*",GT68="*")), 1,"")</f>
        <v/>
      </c>
      <c r="GW67" s="41" t="str">
        <f>IF(AND(GQ67="*",GU68="*"),1,"")</f>
        <v/>
      </c>
      <c r="GX67" s="41" t="str">
        <f>IF(AND(GU68="*", OR(GR67="*", GS67="*",GT67="*")),1,"")</f>
        <v/>
      </c>
      <c r="GY67" s="41" t="str">
        <f>IF(AND(GQ68="*",OR(GR67="*",GS67="*",GT67="*",GU67="*")),1,IF(AND(GU67="*",OR(GQ68="*",GR68="*",GS68="*",GT68="*")),1,""))</f>
        <v/>
      </c>
      <c r="GZ67" s="41" t="str">
        <f>IF(AND(GR67="*",OR(GR68="*",GS68="*",GT68="*")),1,IF(AND(GS67="*",OR(GR68="*",GS68="*",GT68="*")),1,IF(AND(GT67="*",OR(GR68="*",GS68="*",GT68="*")),1,"")))</f>
        <v/>
      </c>
      <c r="HA67" s="41" t="str">
        <f>IF(AND(GQ67="*",GQ68="*"),1,"")</f>
        <v/>
      </c>
      <c r="HC67" s="41"/>
      <c r="HD67" s="41"/>
      <c r="HE67" s="41"/>
      <c r="HF67" s="41"/>
      <c r="HG67" s="41"/>
      <c r="HH67" s="41" t="str">
        <f>IF(AND(HC67="*",OR(HD68="*",HE68="*",HF68="*")), 1,"")</f>
        <v/>
      </c>
      <c r="HI67" s="41" t="str">
        <f>IF(AND(HC67="*",HG68="*"),1,"")</f>
        <v/>
      </c>
      <c r="HJ67" s="41" t="str">
        <f>IF(AND(HG68="*", OR(HD67="*", HE67="*",HF67="*")),1,"")</f>
        <v/>
      </c>
      <c r="HK67" s="41" t="str">
        <f>IF(AND(HC68="*",OR(HD67="*",HE67="*",HF67="*",HG67="*")),1,IF(AND(HG67="*",OR(HC68="*",HD68="*",HE68="*",HF68="*")),1,""))</f>
        <v/>
      </c>
      <c r="HL67" s="41" t="str">
        <f>IF(AND(HD67="*",OR(HD68="*",HE68="*",HF68="*")),1,IF(AND(HE67="*",OR(HD68="*",HE68="*",HF68="*")),1,IF(AND(HF67="*",OR(HD68="*",HE68="*",HF68="*")),1,"")))</f>
        <v/>
      </c>
      <c r="HM67" s="41" t="str">
        <f>IF(AND(HC67="*",HC68="*"),1,"")</f>
        <v/>
      </c>
      <c r="HO67" s="41"/>
      <c r="HP67" s="41"/>
      <c r="HQ67" s="41"/>
      <c r="HR67" s="41"/>
      <c r="HS67" s="41"/>
      <c r="HT67" s="41" t="str">
        <f>IF(AND(HO67="*",OR(HP68="*",HQ68="*",HR68="*")), 1,"")</f>
        <v/>
      </c>
      <c r="HU67" s="41" t="str">
        <f>IF(AND(HO67="*",HS68="*"),1,"")</f>
        <v/>
      </c>
      <c r="HV67" s="41" t="str">
        <f>IF(AND(HS68="*", OR(HP67="*", HQ67="*",HR67="*")),1,"")</f>
        <v/>
      </c>
      <c r="HW67" s="41" t="str">
        <f>IF(AND(HO68="*",OR(HP67="*",HQ67="*",HR67="*",HS67="*")),1,IF(AND(HS67="*",OR(HO68="*",HP68="*",HQ68="*",HR68="*")),1,""))</f>
        <v/>
      </c>
      <c r="HX67" s="41" t="str">
        <f>IF(AND(HP67="*",OR(HP68="*",HQ68="*",HR68="*")),1,IF(AND(HQ67="*",OR(HP68="*",HQ68="*",HR68="*")),1,IF(AND(HR67="*",OR(HP68="*",HQ68="*",HR68="*")),1,"")))</f>
        <v/>
      </c>
      <c r="HY67" s="41" t="str">
        <f>IF(AND(HO67="*",HO68="*"),1,"")</f>
        <v/>
      </c>
      <c r="IA67" s="41"/>
      <c r="IB67" s="41"/>
      <c r="IC67" s="41"/>
      <c r="ID67" s="41"/>
      <c r="IE67" s="41"/>
      <c r="IF67" s="41" t="str">
        <f>IF(AND(IA67="*",OR(IB68="*",IC68="*",ID68="*")), 1,"")</f>
        <v/>
      </c>
      <c r="IG67" s="41" t="str">
        <f>IF(AND(IA67="*",IE68="*"),1,"")</f>
        <v/>
      </c>
      <c r="IH67" s="41" t="str">
        <f>IF(AND(IE68="*", OR(IB67="*", IC67="*",ID67="*")),1,"")</f>
        <v/>
      </c>
      <c r="II67" s="41" t="str">
        <f>IF(AND(IA68="*",OR(IB67="*",IC67="*",ID67="*",IE67="*")),1,IF(AND(IE67="*",OR(IA68="*",IB68="*",IC68="*",ID68="*")),1,""))</f>
        <v/>
      </c>
      <c r="IJ67" s="41" t="str">
        <f>IF(AND(IB67="*",OR(IB68="*",IC68="*",ID68="*")),1,IF(AND(IC67="*",OR(IB68="*",IC68="*",ID68="*")),1,IF(AND(ID67="*",OR(IB68="*",IC68="*",ID68="*")),1,"")))</f>
        <v/>
      </c>
      <c r="IK67" s="41" t="str">
        <f>IF(AND(IA67="*",IA68="*"),1,"")</f>
        <v/>
      </c>
      <c r="IL67" s="41">
        <f>COUNT(J67,V67,AH67,AT67,BF67,BS67,CE67,CQ67,DC67,DO67,EA67,EM67,EY67,FK67,FW67,GJ67,GV67,HH67,HT67,IF67)</f>
        <v>0</v>
      </c>
      <c r="IM67" s="41">
        <f t="shared" ref="IM67:IQ67" si="32">COUNT(K67,W67,AI67,AU67,BG67,BT67,CF67,CR67,DD67,DP67,EB67,EN67,EZ67,FL67,FX67,GK67,GW67,HI67,HU67,IG67)</f>
        <v>0</v>
      </c>
      <c r="IN67" s="41">
        <f t="shared" si="32"/>
        <v>0</v>
      </c>
      <c r="IO67" s="41">
        <f t="shared" si="32"/>
        <v>0</v>
      </c>
      <c r="IP67" s="41">
        <f t="shared" si="32"/>
        <v>0</v>
      </c>
      <c r="IQ67" s="41">
        <f t="shared" si="32"/>
        <v>0</v>
      </c>
    </row>
    <row r="68" spans="2:251" ht="15" customHeight="1" x14ac:dyDescent="0.4">
      <c r="B68" s="277"/>
      <c r="C68" s="279"/>
      <c r="D68" s="42" t="s">
        <v>52</v>
      </c>
      <c r="E68" s="41"/>
      <c r="F68" s="41"/>
      <c r="G68" s="41"/>
      <c r="H68" s="41"/>
      <c r="I68" s="41"/>
      <c r="J68" s="43"/>
      <c r="K68" s="43"/>
      <c r="L68" s="43"/>
      <c r="M68" s="43"/>
      <c r="N68" s="43"/>
      <c r="O68" s="43"/>
      <c r="Q68" s="41"/>
      <c r="R68" s="41"/>
      <c r="S68" s="41"/>
      <c r="T68" s="41"/>
      <c r="U68" s="41"/>
      <c r="V68" s="43"/>
      <c r="W68" s="43"/>
      <c r="X68" s="43"/>
      <c r="Y68" s="43"/>
      <c r="Z68" s="43"/>
      <c r="AA68" s="43"/>
      <c r="AC68" s="41"/>
      <c r="AD68" s="41"/>
      <c r="AE68" s="41"/>
      <c r="AF68" s="41"/>
      <c r="AG68" s="41"/>
      <c r="AH68" s="43"/>
      <c r="AI68" s="43"/>
      <c r="AJ68" s="43"/>
      <c r="AK68" s="43"/>
      <c r="AL68" s="43"/>
      <c r="AM68" s="43"/>
      <c r="AO68" s="41"/>
      <c r="AP68" s="41"/>
      <c r="AQ68" s="41"/>
      <c r="AR68" s="41"/>
      <c r="AS68" s="41"/>
      <c r="AT68" s="43"/>
      <c r="AU68" s="43"/>
      <c r="AV68" s="43"/>
      <c r="AW68" s="43"/>
      <c r="AX68" s="43"/>
      <c r="AY68" s="43"/>
      <c r="BA68" s="41"/>
      <c r="BB68" s="41"/>
      <c r="BC68" s="41"/>
      <c r="BD68" s="41"/>
      <c r="BE68" s="41"/>
      <c r="BF68" s="43"/>
      <c r="BG68" s="43"/>
      <c r="BH68" s="43"/>
      <c r="BI68" s="43"/>
      <c r="BJ68" s="43"/>
      <c r="BK68" s="43"/>
      <c r="BM68" s="41"/>
      <c r="BN68" s="41"/>
      <c r="BO68" s="41"/>
      <c r="BP68" s="41"/>
      <c r="BQ68" s="41"/>
      <c r="BR68" s="41"/>
      <c r="BS68" s="43"/>
      <c r="BT68" s="43"/>
      <c r="BU68" s="43"/>
      <c r="BV68" s="43"/>
      <c r="BW68" s="43"/>
      <c r="BX68" s="43"/>
      <c r="BZ68" s="41"/>
      <c r="CA68" s="41"/>
      <c r="CB68" s="41"/>
      <c r="CC68" s="41"/>
      <c r="CD68" s="41"/>
      <c r="CE68" s="43"/>
      <c r="CF68" s="43"/>
      <c r="CG68" s="43"/>
      <c r="CH68" s="43"/>
      <c r="CI68" s="43"/>
      <c r="CJ68" s="43"/>
      <c r="CL68" s="41"/>
      <c r="CM68" s="41"/>
      <c r="CN68" s="41"/>
      <c r="CO68" s="41"/>
      <c r="CP68" s="41"/>
      <c r="CQ68" s="43"/>
      <c r="CR68" s="43"/>
      <c r="CS68" s="43"/>
      <c r="CT68" s="43"/>
      <c r="CU68" s="43"/>
      <c r="CV68" s="43"/>
      <c r="CX68" s="41"/>
      <c r="CY68" s="41"/>
      <c r="CZ68" s="41"/>
      <c r="DA68" s="41"/>
      <c r="DB68" s="41"/>
      <c r="DC68" s="43"/>
      <c r="DD68" s="43"/>
      <c r="DE68" s="43"/>
      <c r="DF68" s="43"/>
      <c r="DG68" s="43"/>
      <c r="DH68" s="43"/>
      <c r="DJ68" s="41"/>
      <c r="DK68" s="41"/>
      <c r="DL68" s="41"/>
      <c r="DM68" s="41"/>
      <c r="DN68" s="41"/>
      <c r="DO68" s="43"/>
      <c r="DP68" s="43"/>
      <c r="DQ68" s="43"/>
      <c r="DR68" s="43"/>
      <c r="DS68" s="43"/>
      <c r="DT68" s="43"/>
      <c r="DV68" s="41"/>
      <c r="DW68" s="41"/>
      <c r="DX68" s="41"/>
      <c r="DY68" s="41"/>
      <c r="DZ68" s="41"/>
      <c r="EA68" s="43"/>
      <c r="EB68" s="43"/>
      <c r="EC68" s="43"/>
      <c r="ED68" s="43"/>
      <c r="EE68" s="43"/>
      <c r="EF68" s="43"/>
      <c r="EH68" s="41"/>
      <c r="EI68" s="41"/>
      <c r="EJ68" s="41"/>
      <c r="EK68" s="41"/>
      <c r="EL68" s="41"/>
      <c r="EM68" s="43"/>
      <c r="EN68" s="43"/>
      <c r="EO68" s="43"/>
      <c r="EP68" s="43"/>
      <c r="EQ68" s="43"/>
      <c r="ER68" s="43"/>
      <c r="ET68" s="41"/>
      <c r="EU68" s="41"/>
      <c r="EV68" s="41"/>
      <c r="EW68" s="41"/>
      <c r="EX68" s="41"/>
      <c r="EY68" s="43"/>
      <c r="EZ68" s="43"/>
      <c r="FA68" s="43"/>
      <c r="FB68" s="43"/>
      <c r="FC68" s="43"/>
      <c r="FD68" s="43"/>
      <c r="FF68" s="41"/>
      <c r="FG68" s="41"/>
      <c r="FH68" s="41"/>
      <c r="FI68" s="41"/>
      <c r="FJ68" s="41"/>
      <c r="FK68" s="43"/>
      <c r="FL68" s="43"/>
      <c r="FM68" s="43"/>
      <c r="FN68" s="43"/>
      <c r="FO68" s="43"/>
      <c r="FP68" s="43"/>
      <c r="FR68" s="41"/>
      <c r="FS68" s="41"/>
      <c r="FT68" s="41"/>
      <c r="FU68" s="41"/>
      <c r="FV68" s="41"/>
      <c r="FW68" s="43"/>
      <c r="FX68" s="43"/>
      <c r="FY68" s="43"/>
      <c r="FZ68" s="43"/>
      <c r="GA68" s="43"/>
      <c r="GB68" s="43"/>
      <c r="GD68" s="41"/>
      <c r="GE68" s="41"/>
      <c r="GF68" s="41"/>
      <c r="GG68" s="41"/>
      <c r="GH68" s="41"/>
      <c r="GI68" s="41"/>
      <c r="GJ68" s="43"/>
      <c r="GK68" s="43"/>
      <c r="GL68" s="43"/>
      <c r="GM68" s="43"/>
      <c r="GN68" s="43"/>
      <c r="GO68" s="43"/>
      <c r="GQ68" s="41"/>
      <c r="GR68" s="41"/>
      <c r="GS68" s="41"/>
      <c r="GT68" s="41"/>
      <c r="GU68" s="41"/>
      <c r="GV68" s="43"/>
      <c r="GW68" s="43"/>
      <c r="GX68" s="43"/>
      <c r="GY68" s="43"/>
      <c r="GZ68" s="43"/>
      <c r="HA68" s="43"/>
      <c r="HC68" s="41"/>
      <c r="HD68" s="41"/>
      <c r="HE68" s="41"/>
      <c r="HF68" s="41"/>
      <c r="HG68" s="41"/>
      <c r="HH68" s="43"/>
      <c r="HI68" s="43"/>
      <c r="HJ68" s="43"/>
      <c r="HK68" s="43"/>
      <c r="HL68" s="43"/>
      <c r="HM68" s="43"/>
      <c r="HO68" s="41"/>
      <c r="HP68" s="41"/>
      <c r="HQ68" s="41"/>
      <c r="HR68" s="41"/>
      <c r="HS68" s="41"/>
      <c r="HT68" s="43"/>
      <c r="HU68" s="43"/>
      <c r="HV68" s="43"/>
      <c r="HW68" s="43"/>
      <c r="HX68" s="43"/>
      <c r="HY68" s="43"/>
      <c r="IA68" s="41"/>
      <c r="IB68" s="41"/>
      <c r="IC68" s="41"/>
      <c r="ID68" s="41"/>
      <c r="IE68" s="41"/>
      <c r="IF68" s="43"/>
      <c r="IG68" s="43"/>
      <c r="IH68" s="43"/>
      <c r="II68" s="43"/>
      <c r="IJ68" s="43"/>
      <c r="IK68" s="43"/>
    </row>
    <row r="69" spans="2:251" ht="15" customHeight="1" x14ac:dyDescent="0.4">
      <c r="B69" s="273">
        <v>34</v>
      </c>
      <c r="C69" s="274">
        <f>고객요구사항도출표!C38</f>
        <v>0</v>
      </c>
      <c r="D69" s="40" t="s">
        <v>55</v>
      </c>
      <c r="E69" s="44"/>
      <c r="F69" s="44"/>
      <c r="G69" s="44"/>
      <c r="H69" s="44"/>
      <c r="I69" s="44"/>
      <c r="J69" s="44" t="str">
        <f>IF(AND(E69="*",OR(F70="*",G70="*",H70="*")), 1,"")</f>
        <v/>
      </c>
      <c r="K69" s="44" t="str">
        <f>IF(AND(E69="*",I70="*"),1,"")</f>
        <v/>
      </c>
      <c r="L69" s="44" t="str">
        <f>IF(AND(I70="*", OR(F69="*", G69="*",H69="*")),1,"")</f>
        <v/>
      </c>
      <c r="M69" s="44" t="str">
        <f>IF(AND(E70="*",OR(F69="*",G69="*",H69="*",I69="*")),1,IF(AND(I69="*",OR(E70="*",F70="*",G70="*",H70="*")),1,""))</f>
        <v/>
      </c>
      <c r="N69" s="44" t="str">
        <f>IF(AND(F69="*",OR(F70="*",G70="*",H70="*")),1,IF(AND(G69="*",OR(F70="*",G70="*",H70="*")),1,IF(AND(H69="*",OR(F70="*",G70="*",H70="*")),1,"")))</f>
        <v/>
      </c>
      <c r="O69" s="44" t="str">
        <f>IF(AND(E69="*",E70="*"),1,"")</f>
        <v/>
      </c>
      <c r="Q69" s="44"/>
      <c r="R69" s="44"/>
      <c r="S69" s="44"/>
      <c r="T69" s="44"/>
      <c r="U69" s="44"/>
      <c r="V69" s="44" t="str">
        <f>IF(AND(Q69="*",OR(R70="*",S70="*",T70="*")), 1,"")</f>
        <v/>
      </c>
      <c r="W69" s="44" t="str">
        <f>IF(AND(Q69="*",U70="*"),1,"")</f>
        <v/>
      </c>
      <c r="X69" s="44" t="str">
        <f>IF(AND(U70="*", OR(R69="*", S69="*",T69="*")),1,"")</f>
        <v/>
      </c>
      <c r="Y69" s="44" t="str">
        <f>IF(AND(Q70="*",OR(R69="*",S69="*",T69="*",U69="*")),1,IF(AND(U69="*",OR(Q70="*",R70="*",S70="*",T70="*")),1,""))</f>
        <v/>
      </c>
      <c r="Z69" s="44" t="str">
        <f>IF(AND(R69="*",OR(R70="*",S70="*",T70="*")),1,IF(AND(S69="*",OR(R70="*",S70="*",T70="*")),1,IF(AND(T69="*",OR(R70="*",S70="*",T70="*")),1,"")))</f>
        <v/>
      </c>
      <c r="AA69" s="44" t="str">
        <f>IF(AND(Q69="*",Q70="*"),1,"")</f>
        <v/>
      </c>
      <c r="AC69" s="44"/>
      <c r="AD69" s="44"/>
      <c r="AE69" s="44"/>
      <c r="AF69" s="44"/>
      <c r="AG69" s="44"/>
      <c r="AH69" s="44" t="str">
        <f>IF(AND(AC69="*",OR(AD70="*",AE70="*",AF70="*")), 1,"")</f>
        <v/>
      </c>
      <c r="AI69" s="44" t="str">
        <f>IF(AND(AC69="*",AG70="*"),1,"")</f>
        <v/>
      </c>
      <c r="AJ69" s="44" t="str">
        <f>IF(AND(AG70="*", OR(AD69="*", AE69="*",AF69="*")),1,"")</f>
        <v/>
      </c>
      <c r="AK69" s="44" t="str">
        <f>IF(AND(AC70="*",OR(AD69="*",AE69="*",AF69="*",AG69="*")),1,IF(AND(AG69="*",OR(AC70="*",AD70="*",AE70="*",AF70="*")),1,""))</f>
        <v/>
      </c>
      <c r="AL69" s="44" t="str">
        <f>IF(AND(AD69="*",OR(AD70="*",AE70="*",AF70="*")),1,IF(AND(AE69="*",OR(AD70="*",AE70="*",AF70="*")),1,IF(AND(AF69="*",OR(AD70="*",AE70="*",AF70="*")),1,"")))</f>
        <v/>
      </c>
      <c r="AM69" s="44" t="str">
        <f>IF(AND(AC69="*",AC70="*"),1,"")</f>
        <v/>
      </c>
      <c r="AO69" s="44"/>
      <c r="AP69" s="44"/>
      <c r="AQ69" s="44"/>
      <c r="AR69" s="44"/>
      <c r="AS69" s="44"/>
      <c r="AT69" s="44" t="str">
        <f>IF(AND(AO69="*",OR(AP70="*",AQ70="*",AR70="*")), 1,"")</f>
        <v/>
      </c>
      <c r="AU69" s="44" t="str">
        <f>IF(AND(AO69="*",AS70="*"),1,"")</f>
        <v/>
      </c>
      <c r="AV69" s="44" t="str">
        <f>IF(AND(AS70="*", OR(AP69="*", AQ69="*",AR69="*")),1,"")</f>
        <v/>
      </c>
      <c r="AW69" s="44" t="str">
        <f>IF(AND(AO70="*",OR(AP69="*",AQ69="*",AR69="*",AS69="*")),1,IF(AND(AS69="*",OR(AO70="*",AP70="*",AQ70="*",AR70="*")),1,""))</f>
        <v/>
      </c>
      <c r="AX69" s="44" t="str">
        <f>IF(AND(AP69="*",OR(AP70="*",AQ70="*",AR70="*")),1,IF(AND(AQ69="*",OR(AP70="*",AQ70="*",AR70="*")),1,IF(AND(AR69="*",OR(AP70="*",AQ70="*",AR70="*")),1,"")))</f>
        <v/>
      </c>
      <c r="AY69" s="44" t="str">
        <f>IF(AND(AO69="*",AO70="*"),1,"")</f>
        <v/>
      </c>
      <c r="BA69" s="44"/>
      <c r="BB69" s="44"/>
      <c r="BC69" s="44"/>
      <c r="BD69" s="44"/>
      <c r="BE69" s="44"/>
      <c r="BF69" s="44" t="str">
        <f>IF(AND(BA69="*",OR(BB70="*",BC70="*",BD70="*")), 1,"")</f>
        <v/>
      </c>
      <c r="BG69" s="44" t="str">
        <f>IF(AND(BA69="*",BE70="*"),1,"")</f>
        <v/>
      </c>
      <c r="BH69" s="44" t="str">
        <f>IF(AND(BE70="*", OR(BB69="*", BC69="*",BD69="*")),1,"")</f>
        <v/>
      </c>
      <c r="BI69" s="44" t="str">
        <f>IF(AND(BA70="*",OR(BB69="*",BC69="*",BD69="*",BE69="*")),1,IF(AND(BE69="*",OR(BA70="*",BB70="*",BC70="*",BD70="*")),1,""))</f>
        <v/>
      </c>
      <c r="BJ69" s="44" t="str">
        <f>IF(AND(BB69="*",OR(BB70="*",BC70="*",BD70="*")),1,IF(AND(BC69="*",OR(BB70="*",BC70="*",BD70="*")),1,IF(AND(BD69="*",OR(BB70="*",BC70="*",BD70="*")),1,"")))</f>
        <v/>
      </c>
      <c r="BK69" s="44" t="str">
        <f>IF(AND(BA69="*",BA70="*"),1,"")</f>
        <v/>
      </c>
      <c r="BM69" s="44"/>
      <c r="BN69" s="44"/>
      <c r="BO69" s="44"/>
      <c r="BP69" s="44"/>
      <c r="BQ69" s="44"/>
      <c r="BR69" s="44"/>
      <c r="BS69" s="44" t="str">
        <f>IF(AND(BM69="*",OR(BN70="*",BO70="*",BP70="*")), 1,"")</f>
        <v/>
      </c>
      <c r="BT69" s="44" t="str">
        <f>IF(AND(BM69="*",BQ70="*"),1,"")</f>
        <v/>
      </c>
      <c r="BU69" s="44" t="str">
        <f>IF(AND(BQ70="*", OR(BN69="*", BO69="*",BP69="*")),1,"")</f>
        <v/>
      </c>
      <c r="BV69" s="44" t="str">
        <f>IF(AND(BM70="*",OR(BN69="*",BO69="*",BP69="*",BQ69="*")),1,IF(AND(BQ69="*",OR(BM70="*",BN70="*",BO70="*",BP70="*")),1,""))</f>
        <v/>
      </c>
      <c r="BW69" s="44" t="str">
        <f>IF(AND(BN69="*",OR(BN70="*",BO70="*",BP70="*")),1,IF(AND(BO69="*",OR(BN70="*",BO70="*",BP70="*")),1,IF(AND(BP69="*",OR(BN70="*",BO70="*",BP70="*")),1,"")))</f>
        <v/>
      </c>
      <c r="BX69" s="44" t="str">
        <f>IF(AND(BM69="*",BM70="*"),1,"")</f>
        <v/>
      </c>
      <c r="BZ69" s="44"/>
      <c r="CA69" s="44"/>
      <c r="CB69" s="44"/>
      <c r="CC69" s="44"/>
      <c r="CD69" s="44"/>
      <c r="CE69" s="44" t="str">
        <f>IF(AND(BZ69="*",OR(CA70="*",CB70="*",CC70="*")), 1,"")</f>
        <v/>
      </c>
      <c r="CF69" s="44" t="str">
        <f>IF(AND(BZ69="*",CD70="*"),1,"")</f>
        <v/>
      </c>
      <c r="CG69" s="44" t="str">
        <f>IF(AND(CD70="*", OR(CA69="*", CB69="*",CC69="*")),1,"")</f>
        <v/>
      </c>
      <c r="CH69" s="44" t="str">
        <f>IF(AND(BZ70="*",OR(CA69="*",CB69="*",CC69="*",CD69="*")),1,IF(AND(CD69="*",OR(BZ70="*",CA70="*",CB70="*",CC70="*")),1,""))</f>
        <v/>
      </c>
      <c r="CI69" s="44" t="str">
        <f>IF(AND(CA69="*",OR(CA70="*",CB70="*",CC70="*")),1,IF(AND(CB69="*",OR(CA70="*",CB70="*",CC70="*")),1,IF(AND(CC69="*",OR(CA70="*",CB70="*",CC70="*")),1,"")))</f>
        <v/>
      </c>
      <c r="CJ69" s="44" t="str">
        <f>IF(AND(BZ69="*",BZ70="*"),1,"")</f>
        <v/>
      </c>
      <c r="CL69" s="44"/>
      <c r="CM69" s="44"/>
      <c r="CN69" s="44"/>
      <c r="CO69" s="44"/>
      <c r="CP69" s="44"/>
      <c r="CQ69" s="44" t="str">
        <f>IF(AND(CL69="*",OR(CM70="*",CN70="*",CO70="*")), 1,"")</f>
        <v/>
      </c>
      <c r="CR69" s="44" t="str">
        <f>IF(AND(CL69="*",CP70="*"),1,"")</f>
        <v/>
      </c>
      <c r="CS69" s="44" t="str">
        <f>IF(AND(CP70="*", OR(CM69="*", CN69="*",CO69="*")),1,"")</f>
        <v/>
      </c>
      <c r="CT69" s="44" t="str">
        <f>IF(AND(CL70="*",OR(CM69="*",CN69="*",CO69="*",CP69="*")),1,IF(AND(CP69="*",OR(CL70="*",CM70="*",CN70="*",CO70="*")),1,""))</f>
        <v/>
      </c>
      <c r="CU69" s="44" t="str">
        <f>IF(AND(CM69="*",OR(CM70="*",CN70="*",CO70="*")),1,IF(AND(CN69="*",OR(CM70="*",CN70="*",CO70="*")),1,IF(AND(CO69="*",OR(CM70="*",CN70="*",CO70="*")),1,"")))</f>
        <v/>
      </c>
      <c r="CV69" s="44" t="str">
        <f>IF(AND(CL69="*",CL70="*"),1,"")</f>
        <v/>
      </c>
      <c r="CX69" s="44"/>
      <c r="CY69" s="44"/>
      <c r="CZ69" s="44"/>
      <c r="DA69" s="44"/>
      <c r="DB69" s="44"/>
      <c r="DC69" s="44" t="str">
        <f>IF(AND(CX69="*",OR(CY70="*",CZ70="*",DA70="*")), 1,"")</f>
        <v/>
      </c>
      <c r="DD69" s="44" t="str">
        <f>IF(AND(CX69="*",DB70="*"),1,"")</f>
        <v/>
      </c>
      <c r="DE69" s="44" t="str">
        <f>IF(AND(DB70="*", OR(CY69="*", CZ69="*",DA69="*")),1,"")</f>
        <v/>
      </c>
      <c r="DF69" s="44" t="str">
        <f>IF(AND(CX70="*",OR(CY69="*",CZ69="*",DA69="*",DB69="*")),1,IF(AND(DB69="*",OR(CX70="*",CY70="*",CZ70="*",DA70="*")),1,""))</f>
        <v/>
      </c>
      <c r="DG69" s="44" t="str">
        <f>IF(AND(CY69="*",OR(CY70="*",CZ70="*",DA70="*")),1,IF(AND(CZ69="*",OR(CY70="*",CZ70="*",DA70="*")),1,IF(AND(DA69="*",OR(CY70="*",CZ70="*",DA70="*")),1,"")))</f>
        <v/>
      </c>
      <c r="DH69" s="44" t="str">
        <f>IF(AND(CX69="*",CX70="*"),1,"")</f>
        <v/>
      </c>
      <c r="DJ69" s="44"/>
      <c r="DK69" s="44"/>
      <c r="DL69" s="44"/>
      <c r="DM69" s="44"/>
      <c r="DN69" s="44"/>
      <c r="DO69" s="44" t="str">
        <f>IF(AND(DJ69="*",OR(DK70="*",DL70="*",DM70="*")), 1,"")</f>
        <v/>
      </c>
      <c r="DP69" s="44" t="str">
        <f>IF(AND(DJ69="*",DN70="*"),1,"")</f>
        <v/>
      </c>
      <c r="DQ69" s="44" t="str">
        <f>IF(AND(DN70="*", OR(DK69="*", DL69="*",DM69="*")),1,"")</f>
        <v/>
      </c>
      <c r="DR69" s="44" t="str">
        <f>IF(AND(DJ70="*",OR(DK69="*",DL69="*",DM69="*",DN69="*")),1,IF(AND(DN69="*",OR(DJ70="*",DK70="*",DL70="*",DM70="*")),1,""))</f>
        <v/>
      </c>
      <c r="DS69" s="44" t="str">
        <f>IF(AND(DK69="*",OR(DK70="*",DL70="*",DM70="*")),1,IF(AND(DL69="*",OR(DK70="*",DL70="*",DM70="*")),1,IF(AND(DM69="*",OR(DK70="*",DL70="*",DM70="*")),1,"")))</f>
        <v/>
      </c>
      <c r="DT69" s="44" t="str">
        <f>IF(AND(DJ69="*",DJ70="*"),1,"")</f>
        <v/>
      </c>
      <c r="DV69" s="44"/>
      <c r="DW69" s="44"/>
      <c r="DX69" s="44"/>
      <c r="DY69" s="44"/>
      <c r="DZ69" s="44"/>
      <c r="EA69" s="44" t="str">
        <f>IF(AND(DV69="*",OR(DW70="*",DX70="*",DY70="*")), 1,"")</f>
        <v/>
      </c>
      <c r="EB69" s="44" t="str">
        <f>IF(AND(DV69="*",DZ70="*"),1,"")</f>
        <v/>
      </c>
      <c r="EC69" s="44" t="str">
        <f>IF(AND(DZ70="*", OR(DW69="*", DX69="*",DY69="*")),1,"")</f>
        <v/>
      </c>
      <c r="ED69" s="44" t="str">
        <f>IF(AND(DV70="*",OR(DW69="*",DX69="*",DY69="*",DZ69="*")),1,IF(AND(DZ69="*",OR(DV70="*",DW70="*",DX70="*",DY70="*")),1,""))</f>
        <v/>
      </c>
      <c r="EE69" s="44" t="str">
        <f>IF(AND(DW69="*",OR(DW70="*",DX70="*",DY70="*")),1,IF(AND(DX69="*",OR(DW70="*",DX70="*",DY70="*")),1,IF(AND(DY69="*",OR(DW70="*",DX70="*",DY70="*")),1,"")))</f>
        <v/>
      </c>
      <c r="EF69" s="44" t="str">
        <f>IF(AND(DV69="*",DV70="*"),1,"")</f>
        <v/>
      </c>
      <c r="EH69" s="44"/>
      <c r="EI69" s="44"/>
      <c r="EJ69" s="44"/>
      <c r="EK69" s="44"/>
      <c r="EL69" s="44"/>
      <c r="EM69" s="44" t="str">
        <f>IF(AND(EH69="*",OR(EI70="*",EJ70="*",EK70="*")), 1,"")</f>
        <v/>
      </c>
      <c r="EN69" s="44" t="str">
        <f>IF(AND(EH69="*",EL70="*"),1,"")</f>
        <v/>
      </c>
      <c r="EO69" s="44" t="str">
        <f>IF(AND(EL70="*", OR(EI69="*", EJ69="*",EK69="*")),1,"")</f>
        <v/>
      </c>
      <c r="EP69" s="44" t="str">
        <f>IF(AND(EH70="*",OR(EI69="*",EJ69="*",EK69="*",EL69="*")),1,IF(AND(EL69="*",OR(EH70="*",EI70="*",EJ70="*",EK70="*")),1,""))</f>
        <v/>
      </c>
      <c r="EQ69" s="44" t="str">
        <f>IF(AND(EI69="*",OR(EI70="*",EJ70="*",EK70="*")),1,IF(AND(EJ69="*",OR(EI70="*",EJ70="*",EK70="*")),1,IF(AND(EK69="*",OR(EI70="*",EJ70="*",EK70="*")),1,"")))</f>
        <v/>
      </c>
      <c r="ER69" s="44" t="str">
        <f>IF(AND(EH69="*",EH70="*"),1,"")</f>
        <v/>
      </c>
      <c r="ET69" s="44"/>
      <c r="EU69" s="44"/>
      <c r="EV69" s="44"/>
      <c r="EW69" s="44"/>
      <c r="EX69" s="44"/>
      <c r="EY69" s="44" t="str">
        <f>IF(AND(ET69="*",OR(EU70="*",EV70="*",EW70="*")), 1,"")</f>
        <v/>
      </c>
      <c r="EZ69" s="44" t="str">
        <f>IF(AND(ET69="*",EX70="*"),1,"")</f>
        <v/>
      </c>
      <c r="FA69" s="44" t="str">
        <f>IF(AND(EX70="*", OR(EU69="*", EV69="*",EW69="*")),1,"")</f>
        <v/>
      </c>
      <c r="FB69" s="44" t="str">
        <f>IF(AND(ET70="*",OR(EU69="*",EV69="*",EW69="*",EX69="*")),1,IF(AND(EX69="*",OR(ET70="*",EU70="*",EV70="*",EW70="*")),1,""))</f>
        <v/>
      </c>
      <c r="FC69" s="44" t="str">
        <f>IF(AND(EU69="*",OR(EU70="*",EV70="*",EW70="*")),1,IF(AND(EV69="*",OR(EU70="*",EV70="*",EW70="*")),1,IF(AND(EW69="*",OR(EU70="*",EV70="*",EW70="*")),1,"")))</f>
        <v/>
      </c>
      <c r="FD69" s="44" t="str">
        <f>IF(AND(ET69="*",ET70="*"),1,"")</f>
        <v/>
      </c>
      <c r="FF69" s="44"/>
      <c r="FG69" s="44"/>
      <c r="FH69" s="44"/>
      <c r="FI69" s="44"/>
      <c r="FJ69" s="44"/>
      <c r="FK69" s="44" t="str">
        <f>IF(AND(FF69="*",OR(FG70="*",FH70="*",FI70="*")), 1,"")</f>
        <v/>
      </c>
      <c r="FL69" s="44" t="str">
        <f>IF(AND(FF69="*",FJ70="*"),1,"")</f>
        <v/>
      </c>
      <c r="FM69" s="44" t="str">
        <f>IF(AND(FJ70="*", OR(FG69="*", FH69="*",FI69="*")),1,"")</f>
        <v/>
      </c>
      <c r="FN69" s="44" t="str">
        <f>IF(AND(FF70="*",OR(FG69="*",FH69="*",FI69="*",FJ69="*")),1,IF(AND(FJ69="*",OR(FF70="*",FG70="*",FH70="*",FI70="*")),1,""))</f>
        <v/>
      </c>
      <c r="FO69" s="44" t="str">
        <f>IF(AND(FG69="*",OR(FG70="*",FH70="*",FI70="*")),1,IF(AND(FH69="*",OR(FG70="*",FH70="*",FI70="*")),1,IF(AND(FI69="*",OR(FG70="*",FH70="*",FI70="*")),1,"")))</f>
        <v/>
      </c>
      <c r="FP69" s="44" t="str">
        <f>IF(AND(FF69="*",FF70="*"),1,"")</f>
        <v/>
      </c>
      <c r="FR69" s="44"/>
      <c r="FS69" s="44"/>
      <c r="FT69" s="44"/>
      <c r="FU69" s="44"/>
      <c r="FV69" s="44"/>
      <c r="FW69" s="44" t="str">
        <f>IF(AND(FR69="*",OR(FS70="*",FT70="*",FU70="*")), 1,"")</f>
        <v/>
      </c>
      <c r="FX69" s="44" t="str">
        <f>IF(AND(FR69="*",FV70="*"),1,"")</f>
        <v/>
      </c>
      <c r="FY69" s="44" t="str">
        <f>IF(AND(FV70="*", OR(FS69="*", FT69="*",FU69="*")),1,"")</f>
        <v/>
      </c>
      <c r="FZ69" s="44" t="str">
        <f>IF(AND(FR70="*",OR(FS69="*",FT69="*",FU69="*",FV69="*")),1,IF(AND(FV69="*",OR(FR70="*",FS70="*",FT70="*",FU70="*")),1,""))</f>
        <v/>
      </c>
      <c r="GA69" s="44" t="str">
        <f>IF(AND(FS69="*",OR(FS70="*",FT70="*",FU70="*")),1,IF(AND(FT69="*",OR(FS70="*",FT70="*",FU70="*")),1,IF(AND(FU69="*",OR(FS70="*",FT70="*",FU70="*")),1,"")))</f>
        <v/>
      </c>
      <c r="GB69" s="44" t="str">
        <f>IF(AND(FR69="*",FR70="*"),1,"")</f>
        <v/>
      </c>
      <c r="GD69" s="44"/>
      <c r="GE69" s="44"/>
      <c r="GF69" s="44"/>
      <c r="GG69" s="44"/>
      <c r="GH69" s="44"/>
      <c r="GI69" s="44"/>
      <c r="GJ69" s="44" t="str">
        <f>IF(AND(GD69="*",OR(GE70="*",GF70="*",GG70="*")), 1,"")</f>
        <v/>
      </c>
      <c r="GK69" s="44" t="str">
        <f>IF(AND(GD69="*",GH70="*"),1,"")</f>
        <v/>
      </c>
      <c r="GL69" s="44" t="str">
        <f>IF(AND(GH70="*", OR(GE69="*", GF69="*",GG69="*")),1,"")</f>
        <v/>
      </c>
      <c r="GM69" s="44" t="str">
        <f>IF(AND(GD70="*",OR(GE69="*",GF69="*",GG69="*",GH69="*")),1,IF(AND(GH69="*",OR(GD70="*",GE70="*",GF70="*",GG70="*")),1,""))</f>
        <v/>
      </c>
      <c r="GN69" s="44" t="str">
        <f>IF(AND(GE69="*",OR(GE70="*",GF70="*",GG70="*")),1,IF(AND(GF69="*",OR(GE70="*",GF70="*",GG70="*")),1,IF(AND(GG69="*",OR(GE70="*",GF70="*",GG70="*")),1,"")))</f>
        <v/>
      </c>
      <c r="GO69" s="44" t="str">
        <f>IF(AND(GD69="*",GD70="*"),1,"")</f>
        <v/>
      </c>
      <c r="GQ69" s="44"/>
      <c r="GR69" s="44"/>
      <c r="GS69" s="44"/>
      <c r="GT69" s="44"/>
      <c r="GU69" s="44"/>
      <c r="GV69" s="44" t="str">
        <f>IF(AND(GQ69="*",OR(GR70="*",GS70="*",GT70="*")), 1,"")</f>
        <v/>
      </c>
      <c r="GW69" s="44" t="str">
        <f>IF(AND(GQ69="*",GU70="*"),1,"")</f>
        <v/>
      </c>
      <c r="GX69" s="44" t="str">
        <f>IF(AND(GU70="*", OR(GR69="*", GS69="*",GT69="*")),1,"")</f>
        <v/>
      </c>
      <c r="GY69" s="44" t="str">
        <f>IF(AND(GQ70="*",OR(GR69="*",GS69="*",GT69="*",GU69="*")),1,IF(AND(GU69="*",OR(GQ70="*",GR70="*",GS70="*",GT70="*")),1,""))</f>
        <v/>
      </c>
      <c r="GZ69" s="44" t="str">
        <f>IF(AND(GR69="*",OR(GR70="*",GS70="*",GT70="*")),1,IF(AND(GS69="*",OR(GR70="*",GS70="*",GT70="*")),1,IF(AND(GT69="*",OR(GR70="*",GS70="*",GT70="*")),1,"")))</f>
        <v/>
      </c>
      <c r="HA69" s="44" t="str">
        <f>IF(AND(GQ69="*",GQ70="*"),1,"")</f>
        <v/>
      </c>
      <c r="HC69" s="44"/>
      <c r="HD69" s="44"/>
      <c r="HE69" s="44"/>
      <c r="HF69" s="44"/>
      <c r="HG69" s="44"/>
      <c r="HH69" s="44" t="str">
        <f>IF(AND(HC69="*",OR(HD70="*",HE70="*",HF70="*")), 1,"")</f>
        <v/>
      </c>
      <c r="HI69" s="44" t="str">
        <f>IF(AND(HC69="*",HG70="*"),1,"")</f>
        <v/>
      </c>
      <c r="HJ69" s="44" t="str">
        <f>IF(AND(HG70="*", OR(HD69="*", HE69="*",HF69="*")),1,"")</f>
        <v/>
      </c>
      <c r="HK69" s="44" t="str">
        <f>IF(AND(HC70="*",OR(HD69="*",HE69="*",HF69="*",HG69="*")),1,IF(AND(HG69="*",OR(HC70="*",HD70="*",HE70="*",HF70="*")),1,""))</f>
        <v/>
      </c>
      <c r="HL69" s="44" t="str">
        <f>IF(AND(HD69="*",OR(HD70="*",HE70="*",HF70="*")),1,IF(AND(HE69="*",OR(HD70="*",HE70="*",HF70="*")),1,IF(AND(HF69="*",OR(HD70="*",HE70="*",HF70="*")),1,"")))</f>
        <v/>
      </c>
      <c r="HM69" s="44" t="str">
        <f>IF(AND(HC69="*",HC70="*"),1,"")</f>
        <v/>
      </c>
      <c r="HO69" s="44"/>
      <c r="HP69" s="44"/>
      <c r="HQ69" s="44"/>
      <c r="HR69" s="44"/>
      <c r="HS69" s="44"/>
      <c r="HT69" s="44" t="str">
        <f>IF(AND(HO69="*",OR(HP70="*",HQ70="*",HR70="*")), 1,"")</f>
        <v/>
      </c>
      <c r="HU69" s="44" t="str">
        <f>IF(AND(HO69="*",HS70="*"),1,"")</f>
        <v/>
      </c>
      <c r="HV69" s="44" t="str">
        <f>IF(AND(HS70="*", OR(HP69="*", HQ69="*",HR69="*")),1,"")</f>
        <v/>
      </c>
      <c r="HW69" s="44" t="str">
        <f>IF(AND(HO70="*",OR(HP69="*",HQ69="*",HR69="*",HS69="*")),1,IF(AND(HS69="*",OR(HO70="*",HP70="*",HQ70="*",HR70="*")),1,""))</f>
        <v/>
      </c>
      <c r="HX69" s="44" t="str">
        <f>IF(AND(HP69="*",OR(HP70="*",HQ70="*",HR70="*")),1,IF(AND(HQ69="*",OR(HP70="*",HQ70="*",HR70="*")),1,IF(AND(HR69="*",OR(HP70="*",HQ70="*",HR70="*")),1,"")))</f>
        <v/>
      </c>
      <c r="HY69" s="44" t="str">
        <f>IF(AND(HO69="*",HO70="*"),1,"")</f>
        <v/>
      </c>
      <c r="IA69" s="44"/>
      <c r="IB69" s="44"/>
      <c r="IC69" s="44"/>
      <c r="ID69" s="44"/>
      <c r="IE69" s="44"/>
      <c r="IF69" s="44" t="str">
        <f>IF(AND(IA69="*",OR(IB70="*",IC70="*",ID70="*")), 1,"")</f>
        <v/>
      </c>
      <c r="IG69" s="44" t="str">
        <f>IF(AND(IA69="*",IE70="*"),1,"")</f>
        <v/>
      </c>
      <c r="IH69" s="44" t="str">
        <f>IF(AND(IE70="*", OR(IB69="*", IC69="*",ID69="*")),1,"")</f>
        <v/>
      </c>
      <c r="II69" s="44" t="str">
        <f>IF(AND(IA70="*",OR(IB69="*",IC69="*",ID69="*",IE69="*")),1,IF(AND(IE69="*",OR(IA70="*",IB70="*",IC70="*",ID70="*")),1,""))</f>
        <v/>
      </c>
      <c r="IJ69" s="44" t="str">
        <f>IF(AND(IB69="*",OR(IB70="*",IC70="*",ID70="*")),1,IF(AND(IC69="*",OR(IB70="*",IC70="*",ID70="*")),1,IF(AND(ID69="*",OR(IB70="*",IC70="*",ID70="*")),1,"")))</f>
        <v/>
      </c>
      <c r="IK69" s="44" t="str">
        <f>IF(AND(IA69="*",IA70="*"),1,"")</f>
        <v/>
      </c>
      <c r="IL69" s="44">
        <f>COUNT(J69,V69,AH69,AT69,BF69,BS69,CE69,CQ69,DC69,DO69,EA69,EM69,EY69,FK69,FW69,GJ69,GV69,HH69,HT69,IF69)</f>
        <v>0</v>
      </c>
      <c r="IM69" s="44">
        <f t="shared" ref="IM69:IQ69" si="33">COUNT(K69,W69,AI69,AU69,BG69,BT69,CF69,CR69,DD69,DP69,EB69,EN69,EZ69,FL69,FX69,GK69,GW69,HI69,HU69,IG69)</f>
        <v>0</v>
      </c>
      <c r="IN69" s="44">
        <f t="shared" si="33"/>
        <v>0</v>
      </c>
      <c r="IO69" s="44">
        <f t="shared" si="33"/>
        <v>0</v>
      </c>
      <c r="IP69" s="44">
        <f t="shared" si="33"/>
        <v>0</v>
      </c>
      <c r="IQ69" s="44">
        <f t="shared" si="33"/>
        <v>0</v>
      </c>
    </row>
    <row r="70" spans="2:251" ht="15" customHeight="1" x14ac:dyDescent="0.4">
      <c r="B70" s="273"/>
      <c r="C70" s="275"/>
      <c r="D70" s="42" t="s">
        <v>52</v>
      </c>
      <c r="E70" s="44"/>
      <c r="F70" s="44"/>
      <c r="G70" s="44"/>
      <c r="H70" s="44"/>
      <c r="I70" s="44"/>
      <c r="J70" s="43"/>
      <c r="K70" s="43"/>
      <c r="L70" s="43"/>
      <c r="M70" s="43"/>
      <c r="N70" s="43"/>
      <c r="O70" s="43"/>
      <c r="Q70" s="44"/>
      <c r="R70" s="44"/>
      <c r="S70" s="44"/>
      <c r="T70" s="44"/>
      <c r="U70" s="44"/>
      <c r="V70" s="43"/>
      <c r="W70" s="43"/>
      <c r="X70" s="43"/>
      <c r="Y70" s="43"/>
      <c r="Z70" s="43"/>
      <c r="AA70" s="43"/>
      <c r="AC70" s="44"/>
      <c r="AD70" s="44"/>
      <c r="AE70" s="44"/>
      <c r="AF70" s="44"/>
      <c r="AG70" s="44"/>
      <c r="AH70" s="43"/>
      <c r="AI70" s="43"/>
      <c r="AJ70" s="43"/>
      <c r="AK70" s="43"/>
      <c r="AL70" s="43"/>
      <c r="AM70" s="43"/>
      <c r="AO70" s="44"/>
      <c r="AP70" s="44"/>
      <c r="AQ70" s="44"/>
      <c r="AR70" s="44"/>
      <c r="AS70" s="44"/>
      <c r="AT70" s="43"/>
      <c r="AU70" s="43"/>
      <c r="AV70" s="43"/>
      <c r="AW70" s="43"/>
      <c r="AX70" s="43"/>
      <c r="AY70" s="43"/>
      <c r="BA70" s="44"/>
      <c r="BB70" s="44"/>
      <c r="BC70" s="44"/>
      <c r="BD70" s="44"/>
      <c r="BE70" s="44"/>
      <c r="BF70" s="43"/>
      <c r="BG70" s="43"/>
      <c r="BH70" s="43"/>
      <c r="BI70" s="43"/>
      <c r="BJ70" s="43"/>
      <c r="BK70" s="43"/>
      <c r="BM70" s="44"/>
      <c r="BN70" s="44"/>
      <c r="BO70" s="44"/>
      <c r="BP70" s="44"/>
      <c r="BQ70" s="44"/>
      <c r="BR70" s="44"/>
      <c r="BS70" s="43"/>
      <c r="BT70" s="43"/>
      <c r="BU70" s="43"/>
      <c r="BV70" s="43"/>
      <c r="BW70" s="43"/>
      <c r="BX70" s="43"/>
      <c r="BZ70" s="44"/>
      <c r="CA70" s="44"/>
      <c r="CB70" s="44"/>
      <c r="CC70" s="44"/>
      <c r="CD70" s="44"/>
      <c r="CE70" s="43"/>
      <c r="CF70" s="43"/>
      <c r="CG70" s="43"/>
      <c r="CH70" s="43"/>
      <c r="CI70" s="43"/>
      <c r="CJ70" s="43"/>
      <c r="CL70" s="44"/>
      <c r="CM70" s="44"/>
      <c r="CN70" s="44"/>
      <c r="CO70" s="44"/>
      <c r="CP70" s="44"/>
      <c r="CQ70" s="43"/>
      <c r="CR70" s="43"/>
      <c r="CS70" s="43"/>
      <c r="CT70" s="43"/>
      <c r="CU70" s="43"/>
      <c r="CV70" s="43"/>
      <c r="CX70" s="44"/>
      <c r="CY70" s="44"/>
      <c r="CZ70" s="44"/>
      <c r="DA70" s="44"/>
      <c r="DB70" s="44"/>
      <c r="DC70" s="43"/>
      <c r="DD70" s="43"/>
      <c r="DE70" s="43"/>
      <c r="DF70" s="43"/>
      <c r="DG70" s="43"/>
      <c r="DH70" s="43"/>
      <c r="DJ70" s="44"/>
      <c r="DK70" s="44"/>
      <c r="DL70" s="44"/>
      <c r="DM70" s="44"/>
      <c r="DN70" s="44"/>
      <c r="DO70" s="43"/>
      <c r="DP70" s="43"/>
      <c r="DQ70" s="43"/>
      <c r="DR70" s="43"/>
      <c r="DS70" s="43"/>
      <c r="DT70" s="43"/>
      <c r="DV70" s="44"/>
      <c r="DW70" s="44"/>
      <c r="DX70" s="44"/>
      <c r="DY70" s="44"/>
      <c r="DZ70" s="44"/>
      <c r="EA70" s="43"/>
      <c r="EB70" s="43"/>
      <c r="EC70" s="43"/>
      <c r="ED70" s="43"/>
      <c r="EE70" s="43"/>
      <c r="EF70" s="43"/>
      <c r="EH70" s="44"/>
      <c r="EI70" s="44"/>
      <c r="EJ70" s="44"/>
      <c r="EK70" s="44"/>
      <c r="EL70" s="44"/>
      <c r="EM70" s="43"/>
      <c r="EN70" s="43"/>
      <c r="EO70" s="43"/>
      <c r="EP70" s="43"/>
      <c r="EQ70" s="43"/>
      <c r="ER70" s="43"/>
      <c r="ET70" s="44"/>
      <c r="EU70" s="44"/>
      <c r="EV70" s="44"/>
      <c r="EW70" s="44"/>
      <c r="EX70" s="44"/>
      <c r="EY70" s="43"/>
      <c r="EZ70" s="43"/>
      <c r="FA70" s="43"/>
      <c r="FB70" s="43"/>
      <c r="FC70" s="43"/>
      <c r="FD70" s="43"/>
      <c r="FF70" s="44"/>
      <c r="FG70" s="44"/>
      <c r="FH70" s="44"/>
      <c r="FI70" s="44"/>
      <c r="FJ70" s="44"/>
      <c r="FK70" s="43"/>
      <c r="FL70" s="43"/>
      <c r="FM70" s="43"/>
      <c r="FN70" s="43"/>
      <c r="FO70" s="43"/>
      <c r="FP70" s="43"/>
      <c r="FR70" s="44"/>
      <c r="FS70" s="44"/>
      <c r="FT70" s="44"/>
      <c r="FU70" s="44"/>
      <c r="FV70" s="44"/>
      <c r="FW70" s="43"/>
      <c r="FX70" s="43"/>
      <c r="FY70" s="43"/>
      <c r="FZ70" s="43"/>
      <c r="GA70" s="43"/>
      <c r="GB70" s="43"/>
      <c r="GD70" s="44"/>
      <c r="GE70" s="44"/>
      <c r="GF70" s="44"/>
      <c r="GG70" s="44"/>
      <c r="GH70" s="44"/>
      <c r="GI70" s="44"/>
      <c r="GJ70" s="43"/>
      <c r="GK70" s="43"/>
      <c r="GL70" s="43"/>
      <c r="GM70" s="43"/>
      <c r="GN70" s="43"/>
      <c r="GO70" s="43"/>
      <c r="GQ70" s="44"/>
      <c r="GR70" s="44"/>
      <c r="GS70" s="44"/>
      <c r="GT70" s="44"/>
      <c r="GU70" s="44"/>
      <c r="GV70" s="43"/>
      <c r="GW70" s="43"/>
      <c r="GX70" s="43"/>
      <c r="GY70" s="43"/>
      <c r="GZ70" s="43"/>
      <c r="HA70" s="43"/>
      <c r="HC70" s="44"/>
      <c r="HD70" s="44"/>
      <c r="HE70" s="44"/>
      <c r="HF70" s="44"/>
      <c r="HG70" s="44"/>
      <c r="HH70" s="43"/>
      <c r="HI70" s="43"/>
      <c r="HJ70" s="43"/>
      <c r="HK70" s="43"/>
      <c r="HL70" s="43"/>
      <c r="HM70" s="43"/>
      <c r="HO70" s="44"/>
      <c r="HP70" s="44"/>
      <c r="HQ70" s="44"/>
      <c r="HR70" s="44"/>
      <c r="HS70" s="44"/>
      <c r="HT70" s="43"/>
      <c r="HU70" s="43"/>
      <c r="HV70" s="43"/>
      <c r="HW70" s="43"/>
      <c r="HX70" s="43"/>
      <c r="HY70" s="43"/>
      <c r="IA70" s="44"/>
      <c r="IB70" s="44"/>
      <c r="IC70" s="44"/>
      <c r="ID70" s="44"/>
      <c r="IE70" s="44"/>
      <c r="IF70" s="43"/>
      <c r="IG70" s="43"/>
      <c r="IH70" s="43"/>
      <c r="II70" s="43"/>
      <c r="IJ70" s="43"/>
      <c r="IK70" s="43"/>
    </row>
    <row r="71" spans="2:251" ht="15" customHeight="1" x14ac:dyDescent="0.4">
      <c r="B71" s="276">
        <v>35</v>
      </c>
      <c r="C71" s="278">
        <f>고객요구사항도출표!C39</f>
        <v>0</v>
      </c>
      <c r="D71" s="40" t="s">
        <v>55</v>
      </c>
      <c r="E71" s="41"/>
      <c r="F71" s="41"/>
      <c r="G71" s="41"/>
      <c r="H71" s="41"/>
      <c r="I71" s="41"/>
      <c r="J71" s="41" t="str">
        <f>IF(AND(E71="*",OR(F72="*",G72="*",H72="*")), 1,"")</f>
        <v/>
      </c>
      <c r="K71" s="41" t="str">
        <f>IF(AND(E71="*",I72="*"),1,"")</f>
        <v/>
      </c>
      <c r="L71" s="41" t="str">
        <f>IF(AND(I72="*", OR(F71="*", G71="*",H71="*")),1,"")</f>
        <v/>
      </c>
      <c r="M71" s="41" t="str">
        <f>IF(AND(E72="*",OR(F71="*",G71="*",H71="*",I71="*")),1,IF(AND(I71="*",OR(E72="*",F72="*",G72="*",H72="*")),1,""))</f>
        <v/>
      </c>
      <c r="N71" s="41" t="str">
        <f>IF(AND(F71="*",OR(F72="*",G72="*",H72="*")),1,IF(AND(G71="*",OR(F72="*",G72="*",H72="*")),1,IF(AND(H71="*",OR(F72="*",G72="*",H72="*")),1,"")))</f>
        <v/>
      </c>
      <c r="O71" s="41" t="str">
        <f>IF(AND(E71="*",E72="*"),1,"")</f>
        <v/>
      </c>
      <c r="Q71" s="41"/>
      <c r="R71" s="41"/>
      <c r="S71" s="41"/>
      <c r="T71" s="41"/>
      <c r="U71" s="41"/>
      <c r="V71" s="41" t="str">
        <f>IF(AND(Q71="*",OR(R72="*",S72="*",T72="*")), 1,"")</f>
        <v/>
      </c>
      <c r="W71" s="41" t="str">
        <f>IF(AND(Q71="*",U72="*"),1,"")</f>
        <v/>
      </c>
      <c r="X71" s="41" t="str">
        <f>IF(AND(U72="*", OR(R71="*", S71="*",T71="*")),1,"")</f>
        <v/>
      </c>
      <c r="Y71" s="41" t="str">
        <f>IF(AND(Q72="*",OR(R71="*",S71="*",T71="*",U71="*")),1,IF(AND(U71="*",OR(Q72="*",R72="*",S72="*",T72="*")),1,""))</f>
        <v/>
      </c>
      <c r="Z71" s="41" t="str">
        <f>IF(AND(R71="*",OR(R72="*",S72="*",T72="*")),1,IF(AND(S71="*",OR(R72="*",S72="*",T72="*")),1,IF(AND(T71="*",OR(R72="*",S72="*",T72="*")),1,"")))</f>
        <v/>
      </c>
      <c r="AA71" s="41" t="str">
        <f>IF(AND(Q71="*",Q72="*"),1,"")</f>
        <v/>
      </c>
      <c r="AC71" s="41"/>
      <c r="AD71" s="41"/>
      <c r="AE71" s="41"/>
      <c r="AF71" s="41"/>
      <c r="AG71" s="41"/>
      <c r="AH71" s="41" t="str">
        <f>IF(AND(AC71="*",OR(AD72="*",AE72="*",AF72="*")), 1,"")</f>
        <v/>
      </c>
      <c r="AI71" s="41" t="str">
        <f>IF(AND(AC71="*",AG72="*"),1,"")</f>
        <v/>
      </c>
      <c r="AJ71" s="41" t="str">
        <f>IF(AND(AG72="*", OR(AD71="*", AE71="*",AF71="*")),1,"")</f>
        <v/>
      </c>
      <c r="AK71" s="41" t="str">
        <f>IF(AND(AC72="*",OR(AD71="*",AE71="*",AF71="*",AG71="*")),1,IF(AND(AG71="*",OR(AC72="*",AD72="*",AE72="*",AF72="*")),1,""))</f>
        <v/>
      </c>
      <c r="AL71" s="41" t="str">
        <f>IF(AND(AD71="*",OR(AD72="*",AE72="*",AF72="*")),1,IF(AND(AE71="*",OR(AD72="*",AE72="*",AF72="*")),1,IF(AND(AF71="*",OR(AD72="*",AE72="*",AF72="*")),1,"")))</f>
        <v/>
      </c>
      <c r="AM71" s="41" t="str">
        <f>IF(AND(AC71="*",AC72="*"),1,"")</f>
        <v/>
      </c>
      <c r="AO71" s="41"/>
      <c r="AP71" s="41"/>
      <c r="AQ71" s="41"/>
      <c r="AR71" s="41"/>
      <c r="AS71" s="41"/>
      <c r="AT71" s="41" t="str">
        <f>IF(AND(AO71="*",OR(AP72="*",AQ72="*",AR72="*")), 1,"")</f>
        <v/>
      </c>
      <c r="AU71" s="41" t="str">
        <f>IF(AND(AO71="*",AS72="*"),1,"")</f>
        <v/>
      </c>
      <c r="AV71" s="41" t="str">
        <f>IF(AND(AS72="*", OR(AP71="*", AQ71="*",AR71="*")),1,"")</f>
        <v/>
      </c>
      <c r="AW71" s="41" t="str">
        <f>IF(AND(AO72="*",OR(AP71="*",AQ71="*",AR71="*",AS71="*")),1,IF(AND(AS71="*",OR(AO72="*",AP72="*",AQ72="*",AR72="*")),1,""))</f>
        <v/>
      </c>
      <c r="AX71" s="41" t="str">
        <f>IF(AND(AP71="*",OR(AP72="*",AQ72="*",AR72="*")),1,IF(AND(AQ71="*",OR(AP72="*",AQ72="*",AR72="*")),1,IF(AND(AR71="*",OR(AP72="*",AQ72="*",AR72="*")),1,"")))</f>
        <v/>
      </c>
      <c r="AY71" s="41" t="str">
        <f>IF(AND(AO71="*",AO72="*"),1,"")</f>
        <v/>
      </c>
      <c r="BA71" s="41"/>
      <c r="BB71" s="41"/>
      <c r="BC71" s="41"/>
      <c r="BD71" s="41"/>
      <c r="BE71" s="41"/>
      <c r="BF71" s="41" t="str">
        <f>IF(AND(BA71="*",OR(BB72="*",BC72="*",BD72="*")), 1,"")</f>
        <v/>
      </c>
      <c r="BG71" s="41" t="str">
        <f>IF(AND(BA71="*",BE72="*"),1,"")</f>
        <v/>
      </c>
      <c r="BH71" s="41" t="str">
        <f>IF(AND(BE72="*", OR(BB71="*", BC71="*",BD71="*")),1,"")</f>
        <v/>
      </c>
      <c r="BI71" s="41" t="str">
        <f>IF(AND(BA72="*",OR(BB71="*",BC71="*",BD71="*",BE71="*")),1,IF(AND(BE71="*",OR(BA72="*",BB72="*",BC72="*",BD72="*")),1,""))</f>
        <v/>
      </c>
      <c r="BJ71" s="41" t="str">
        <f>IF(AND(BB71="*",OR(BB72="*",BC72="*",BD72="*")),1,IF(AND(BC71="*",OR(BB72="*",BC72="*",BD72="*")),1,IF(AND(BD71="*",OR(BB72="*",BC72="*",BD72="*")),1,"")))</f>
        <v/>
      </c>
      <c r="BK71" s="41" t="str">
        <f>IF(AND(BA71="*",BA72="*"),1,"")</f>
        <v/>
      </c>
      <c r="BM71" s="41"/>
      <c r="BN71" s="41"/>
      <c r="BO71" s="41"/>
      <c r="BP71" s="41"/>
      <c r="BQ71" s="41"/>
      <c r="BR71" s="41"/>
      <c r="BS71" s="41" t="str">
        <f>IF(AND(BM71="*",OR(BN72="*",BO72="*",BP72="*")), 1,"")</f>
        <v/>
      </c>
      <c r="BT71" s="41" t="str">
        <f>IF(AND(BM71="*",BQ72="*"),1,"")</f>
        <v/>
      </c>
      <c r="BU71" s="41" t="str">
        <f>IF(AND(BQ72="*", OR(BN71="*", BO71="*",BP71="*")),1,"")</f>
        <v/>
      </c>
      <c r="BV71" s="41" t="str">
        <f>IF(AND(BM72="*",OR(BN71="*",BO71="*",BP71="*",BQ71="*")),1,IF(AND(BQ71="*",OR(BM72="*",BN72="*",BO72="*",BP72="*")),1,""))</f>
        <v/>
      </c>
      <c r="BW71" s="41" t="str">
        <f>IF(AND(BN71="*",OR(BN72="*",BO72="*",BP72="*")),1,IF(AND(BO71="*",OR(BN72="*",BO72="*",BP72="*")),1,IF(AND(BP71="*",OR(BN72="*",BO72="*",BP72="*")),1,"")))</f>
        <v/>
      </c>
      <c r="BX71" s="41" t="str">
        <f>IF(AND(BM71="*",BM72="*"),1,"")</f>
        <v/>
      </c>
      <c r="BZ71" s="41"/>
      <c r="CA71" s="41"/>
      <c r="CB71" s="41"/>
      <c r="CC71" s="41"/>
      <c r="CD71" s="41"/>
      <c r="CE71" s="41" t="str">
        <f>IF(AND(BZ71="*",OR(CA72="*",CB72="*",CC72="*")), 1,"")</f>
        <v/>
      </c>
      <c r="CF71" s="41" t="str">
        <f>IF(AND(BZ71="*",CD72="*"),1,"")</f>
        <v/>
      </c>
      <c r="CG71" s="41" t="str">
        <f>IF(AND(CD72="*", OR(CA71="*", CB71="*",CC71="*")),1,"")</f>
        <v/>
      </c>
      <c r="CH71" s="41" t="str">
        <f>IF(AND(BZ72="*",OR(CA71="*",CB71="*",CC71="*",CD71="*")),1,IF(AND(CD71="*",OR(BZ72="*",CA72="*",CB72="*",CC72="*")),1,""))</f>
        <v/>
      </c>
      <c r="CI71" s="41" t="str">
        <f>IF(AND(CA71="*",OR(CA72="*",CB72="*",CC72="*")),1,IF(AND(CB71="*",OR(CA72="*",CB72="*",CC72="*")),1,IF(AND(CC71="*",OR(CA72="*",CB72="*",CC72="*")),1,"")))</f>
        <v/>
      </c>
      <c r="CJ71" s="41" t="str">
        <f>IF(AND(BZ71="*",BZ72="*"),1,"")</f>
        <v/>
      </c>
      <c r="CL71" s="41"/>
      <c r="CM71" s="41"/>
      <c r="CN71" s="41"/>
      <c r="CO71" s="41"/>
      <c r="CP71" s="41"/>
      <c r="CQ71" s="41" t="str">
        <f>IF(AND(CL71="*",OR(CM72="*",CN72="*",CO72="*")), 1,"")</f>
        <v/>
      </c>
      <c r="CR71" s="41" t="str">
        <f>IF(AND(CL71="*",CP72="*"),1,"")</f>
        <v/>
      </c>
      <c r="CS71" s="41" t="str">
        <f>IF(AND(CP72="*", OR(CM71="*", CN71="*",CO71="*")),1,"")</f>
        <v/>
      </c>
      <c r="CT71" s="41" t="str">
        <f>IF(AND(CL72="*",OR(CM71="*",CN71="*",CO71="*",CP71="*")),1,IF(AND(CP71="*",OR(CL72="*",CM72="*",CN72="*",CO72="*")),1,""))</f>
        <v/>
      </c>
      <c r="CU71" s="41" t="str">
        <f>IF(AND(CM71="*",OR(CM72="*",CN72="*",CO72="*")),1,IF(AND(CN71="*",OR(CM72="*",CN72="*",CO72="*")),1,IF(AND(CO71="*",OR(CM72="*",CN72="*",CO72="*")),1,"")))</f>
        <v/>
      </c>
      <c r="CV71" s="41" t="str">
        <f>IF(AND(CL71="*",CL72="*"),1,"")</f>
        <v/>
      </c>
      <c r="CX71" s="41"/>
      <c r="CY71" s="41"/>
      <c r="CZ71" s="41"/>
      <c r="DA71" s="41"/>
      <c r="DB71" s="41"/>
      <c r="DC71" s="41" t="str">
        <f>IF(AND(CX71="*",OR(CY72="*",CZ72="*",DA72="*")), 1,"")</f>
        <v/>
      </c>
      <c r="DD71" s="41" t="str">
        <f>IF(AND(CX71="*",DB72="*"),1,"")</f>
        <v/>
      </c>
      <c r="DE71" s="41" t="str">
        <f>IF(AND(DB72="*", OR(CY71="*", CZ71="*",DA71="*")),1,"")</f>
        <v/>
      </c>
      <c r="DF71" s="41" t="str">
        <f>IF(AND(CX72="*",OR(CY71="*",CZ71="*",DA71="*",DB71="*")),1,IF(AND(DB71="*",OR(CX72="*",CY72="*",CZ72="*",DA72="*")),1,""))</f>
        <v/>
      </c>
      <c r="DG71" s="41" t="str">
        <f>IF(AND(CY71="*",OR(CY72="*",CZ72="*",DA72="*")),1,IF(AND(CZ71="*",OR(CY72="*",CZ72="*",DA72="*")),1,IF(AND(DA71="*",OR(CY72="*",CZ72="*",DA72="*")),1,"")))</f>
        <v/>
      </c>
      <c r="DH71" s="41" t="str">
        <f>IF(AND(CX71="*",CX72="*"),1,"")</f>
        <v/>
      </c>
      <c r="DJ71" s="41"/>
      <c r="DK71" s="41"/>
      <c r="DL71" s="41"/>
      <c r="DM71" s="41"/>
      <c r="DN71" s="41"/>
      <c r="DO71" s="41" t="str">
        <f>IF(AND(DJ71="*",OR(DK72="*",DL72="*",DM72="*")), 1,"")</f>
        <v/>
      </c>
      <c r="DP71" s="41" t="str">
        <f>IF(AND(DJ71="*",DN72="*"),1,"")</f>
        <v/>
      </c>
      <c r="DQ71" s="41" t="str">
        <f>IF(AND(DN72="*", OR(DK71="*", DL71="*",DM71="*")),1,"")</f>
        <v/>
      </c>
      <c r="DR71" s="41" t="str">
        <f>IF(AND(DJ72="*",OR(DK71="*",DL71="*",DM71="*",DN71="*")),1,IF(AND(DN71="*",OR(DJ72="*",DK72="*",DL72="*",DM72="*")),1,""))</f>
        <v/>
      </c>
      <c r="DS71" s="41" t="str">
        <f>IF(AND(DK71="*",OR(DK72="*",DL72="*",DM72="*")),1,IF(AND(DL71="*",OR(DK72="*",DL72="*",DM72="*")),1,IF(AND(DM71="*",OR(DK72="*",DL72="*",DM72="*")),1,"")))</f>
        <v/>
      </c>
      <c r="DT71" s="41" t="str">
        <f>IF(AND(DJ71="*",DJ72="*"),1,"")</f>
        <v/>
      </c>
      <c r="DV71" s="41"/>
      <c r="DW71" s="41"/>
      <c r="DX71" s="41"/>
      <c r="DY71" s="41"/>
      <c r="DZ71" s="41"/>
      <c r="EA71" s="41" t="str">
        <f>IF(AND(DV71="*",OR(DW72="*",DX72="*",DY72="*")), 1,"")</f>
        <v/>
      </c>
      <c r="EB71" s="41" t="str">
        <f>IF(AND(DV71="*",DZ72="*"),1,"")</f>
        <v/>
      </c>
      <c r="EC71" s="41" t="str">
        <f>IF(AND(DZ72="*", OR(DW71="*", DX71="*",DY71="*")),1,"")</f>
        <v/>
      </c>
      <c r="ED71" s="41" t="str">
        <f>IF(AND(DV72="*",OR(DW71="*",DX71="*",DY71="*",DZ71="*")),1,IF(AND(DZ71="*",OR(DV72="*",DW72="*",DX72="*",DY72="*")),1,""))</f>
        <v/>
      </c>
      <c r="EE71" s="41" t="str">
        <f>IF(AND(DW71="*",OR(DW72="*",DX72="*",DY72="*")),1,IF(AND(DX71="*",OR(DW72="*",DX72="*",DY72="*")),1,IF(AND(DY71="*",OR(DW72="*",DX72="*",DY72="*")),1,"")))</f>
        <v/>
      </c>
      <c r="EF71" s="41" t="str">
        <f>IF(AND(DV71="*",DV72="*"),1,"")</f>
        <v/>
      </c>
      <c r="EH71" s="41"/>
      <c r="EI71" s="41"/>
      <c r="EJ71" s="41"/>
      <c r="EK71" s="41"/>
      <c r="EL71" s="41"/>
      <c r="EM71" s="41" t="str">
        <f>IF(AND(EH71="*",OR(EI72="*",EJ72="*",EK72="*")), 1,"")</f>
        <v/>
      </c>
      <c r="EN71" s="41" t="str">
        <f>IF(AND(EH71="*",EL72="*"),1,"")</f>
        <v/>
      </c>
      <c r="EO71" s="41" t="str">
        <f>IF(AND(EL72="*", OR(EI71="*", EJ71="*",EK71="*")),1,"")</f>
        <v/>
      </c>
      <c r="EP71" s="41" t="str">
        <f>IF(AND(EH72="*",OR(EI71="*",EJ71="*",EK71="*",EL71="*")),1,IF(AND(EL71="*",OR(EH72="*",EI72="*",EJ72="*",EK72="*")),1,""))</f>
        <v/>
      </c>
      <c r="EQ71" s="41" t="str">
        <f>IF(AND(EI71="*",OR(EI72="*",EJ72="*",EK72="*")),1,IF(AND(EJ71="*",OR(EI72="*",EJ72="*",EK72="*")),1,IF(AND(EK71="*",OR(EI72="*",EJ72="*",EK72="*")),1,"")))</f>
        <v/>
      </c>
      <c r="ER71" s="41" t="str">
        <f>IF(AND(EH71="*",EH72="*"),1,"")</f>
        <v/>
      </c>
      <c r="ET71" s="41"/>
      <c r="EU71" s="41"/>
      <c r="EV71" s="41"/>
      <c r="EW71" s="41"/>
      <c r="EX71" s="41"/>
      <c r="EY71" s="41" t="str">
        <f>IF(AND(ET71="*",OR(EU72="*",EV72="*",EW72="*")), 1,"")</f>
        <v/>
      </c>
      <c r="EZ71" s="41" t="str">
        <f>IF(AND(ET71="*",EX72="*"),1,"")</f>
        <v/>
      </c>
      <c r="FA71" s="41" t="str">
        <f>IF(AND(EX72="*", OR(EU71="*", EV71="*",EW71="*")),1,"")</f>
        <v/>
      </c>
      <c r="FB71" s="41" t="str">
        <f>IF(AND(ET72="*",OR(EU71="*",EV71="*",EW71="*",EX71="*")),1,IF(AND(EX71="*",OR(ET72="*",EU72="*",EV72="*",EW72="*")),1,""))</f>
        <v/>
      </c>
      <c r="FC71" s="41" t="str">
        <f>IF(AND(EU71="*",OR(EU72="*",EV72="*",EW72="*")),1,IF(AND(EV71="*",OR(EU72="*",EV72="*",EW72="*")),1,IF(AND(EW71="*",OR(EU72="*",EV72="*",EW72="*")),1,"")))</f>
        <v/>
      </c>
      <c r="FD71" s="41" t="str">
        <f>IF(AND(ET71="*",ET72="*"),1,"")</f>
        <v/>
      </c>
      <c r="FF71" s="41"/>
      <c r="FG71" s="41"/>
      <c r="FH71" s="41"/>
      <c r="FI71" s="41"/>
      <c r="FJ71" s="41"/>
      <c r="FK71" s="41" t="str">
        <f>IF(AND(FF71="*",OR(FG72="*",FH72="*",FI72="*")), 1,"")</f>
        <v/>
      </c>
      <c r="FL71" s="41" t="str">
        <f>IF(AND(FF71="*",FJ72="*"),1,"")</f>
        <v/>
      </c>
      <c r="FM71" s="41" t="str">
        <f>IF(AND(FJ72="*", OR(FG71="*", FH71="*",FI71="*")),1,"")</f>
        <v/>
      </c>
      <c r="FN71" s="41" t="str">
        <f>IF(AND(FF72="*",OR(FG71="*",FH71="*",FI71="*",FJ71="*")),1,IF(AND(FJ71="*",OR(FF72="*",FG72="*",FH72="*",FI72="*")),1,""))</f>
        <v/>
      </c>
      <c r="FO71" s="41" t="str">
        <f>IF(AND(FG71="*",OR(FG72="*",FH72="*",FI72="*")),1,IF(AND(FH71="*",OR(FG72="*",FH72="*",FI72="*")),1,IF(AND(FI71="*",OR(FG72="*",FH72="*",FI72="*")),1,"")))</f>
        <v/>
      </c>
      <c r="FP71" s="41" t="str">
        <f>IF(AND(FF71="*",FF72="*"),1,"")</f>
        <v/>
      </c>
      <c r="FR71" s="41"/>
      <c r="FS71" s="41"/>
      <c r="FT71" s="41"/>
      <c r="FU71" s="41"/>
      <c r="FV71" s="41"/>
      <c r="FW71" s="41" t="str">
        <f>IF(AND(FR71="*",OR(FS72="*",FT72="*",FU72="*")), 1,"")</f>
        <v/>
      </c>
      <c r="FX71" s="41" t="str">
        <f>IF(AND(FR71="*",FV72="*"),1,"")</f>
        <v/>
      </c>
      <c r="FY71" s="41" t="str">
        <f>IF(AND(FV72="*", OR(FS71="*", FT71="*",FU71="*")),1,"")</f>
        <v/>
      </c>
      <c r="FZ71" s="41" t="str">
        <f>IF(AND(FR72="*",OR(FS71="*",FT71="*",FU71="*",FV71="*")),1,IF(AND(FV71="*",OR(FR72="*",FS72="*",FT72="*",FU72="*")),1,""))</f>
        <v/>
      </c>
      <c r="GA71" s="41" t="str">
        <f>IF(AND(FS71="*",OR(FS72="*",FT72="*",FU72="*")),1,IF(AND(FT71="*",OR(FS72="*",FT72="*",FU72="*")),1,IF(AND(FU71="*",OR(FS72="*",FT72="*",FU72="*")),1,"")))</f>
        <v/>
      </c>
      <c r="GB71" s="41" t="str">
        <f>IF(AND(FR71="*",FR72="*"),1,"")</f>
        <v/>
      </c>
      <c r="GD71" s="41"/>
      <c r="GE71" s="41"/>
      <c r="GF71" s="41"/>
      <c r="GG71" s="41"/>
      <c r="GH71" s="41"/>
      <c r="GI71" s="41"/>
      <c r="GJ71" s="41" t="str">
        <f>IF(AND(GD71="*",OR(GE72="*",GF72="*",GG72="*")), 1,"")</f>
        <v/>
      </c>
      <c r="GK71" s="41" t="str">
        <f>IF(AND(GD71="*",GH72="*"),1,"")</f>
        <v/>
      </c>
      <c r="GL71" s="41" t="str">
        <f>IF(AND(GH72="*", OR(GE71="*", GF71="*",GG71="*")),1,"")</f>
        <v/>
      </c>
      <c r="GM71" s="41" t="str">
        <f>IF(AND(GD72="*",OR(GE71="*",GF71="*",GG71="*",GH71="*")),1,IF(AND(GH71="*",OR(GD72="*",GE72="*",GF72="*",GG72="*")),1,""))</f>
        <v/>
      </c>
      <c r="GN71" s="41" t="str">
        <f>IF(AND(GE71="*",OR(GE72="*",GF72="*",GG72="*")),1,IF(AND(GF71="*",OR(GE72="*",GF72="*",GG72="*")),1,IF(AND(GG71="*",OR(GE72="*",GF72="*",GG72="*")),1,"")))</f>
        <v/>
      </c>
      <c r="GO71" s="41" t="str">
        <f>IF(AND(GD71="*",GD72="*"),1,"")</f>
        <v/>
      </c>
      <c r="GQ71" s="41"/>
      <c r="GR71" s="41"/>
      <c r="GS71" s="41"/>
      <c r="GT71" s="41"/>
      <c r="GU71" s="41"/>
      <c r="GV71" s="41" t="str">
        <f>IF(AND(GQ71="*",OR(GR72="*",GS72="*",GT72="*")), 1,"")</f>
        <v/>
      </c>
      <c r="GW71" s="41" t="str">
        <f>IF(AND(GQ71="*",GU72="*"),1,"")</f>
        <v/>
      </c>
      <c r="GX71" s="41" t="str">
        <f>IF(AND(GU72="*", OR(GR71="*", GS71="*",GT71="*")),1,"")</f>
        <v/>
      </c>
      <c r="GY71" s="41" t="str">
        <f>IF(AND(GQ72="*",OR(GR71="*",GS71="*",GT71="*",GU71="*")),1,IF(AND(GU71="*",OR(GQ72="*",GR72="*",GS72="*",GT72="*")),1,""))</f>
        <v/>
      </c>
      <c r="GZ71" s="41" t="str">
        <f>IF(AND(GR71="*",OR(GR72="*",GS72="*",GT72="*")),1,IF(AND(GS71="*",OR(GR72="*",GS72="*",GT72="*")),1,IF(AND(GT71="*",OR(GR72="*",GS72="*",GT72="*")),1,"")))</f>
        <v/>
      </c>
      <c r="HA71" s="41" t="str">
        <f>IF(AND(GQ71="*",GQ72="*"),1,"")</f>
        <v/>
      </c>
      <c r="HC71" s="41"/>
      <c r="HD71" s="41"/>
      <c r="HE71" s="41"/>
      <c r="HF71" s="41"/>
      <c r="HG71" s="41"/>
      <c r="HH71" s="41" t="str">
        <f>IF(AND(HC71="*",OR(HD72="*",HE72="*",HF72="*")), 1,"")</f>
        <v/>
      </c>
      <c r="HI71" s="41" t="str">
        <f>IF(AND(HC71="*",HG72="*"),1,"")</f>
        <v/>
      </c>
      <c r="HJ71" s="41" t="str">
        <f>IF(AND(HG72="*", OR(HD71="*", HE71="*",HF71="*")),1,"")</f>
        <v/>
      </c>
      <c r="HK71" s="41" t="str">
        <f>IF(AND(HC72="*",OR(HD71="*",HE71="*",HF71="*",HG71="*")),1,IF(AND(HG71="*",OR(HC72="*",HD72="*",HE72="*",HF72="*")),1,""))</f>
        <v/>
      </c>
      <c r="HL71" s="41" t="str">
        <f>IF(AND(HD71="*",OR(HD72="*",HE72="*",HF72="*")),1,IF(AND(HE71="*",OR(HD72="*",HE72="*",HF72="*")),1,IF(AND(HF71="*",OR(HD72="*",HE72="*",HF72="*")),1,"")))</f>
        <v/>
      </c>
      <c r="HM71" s="41" t="str">
        <f>IF(AND(HC71="*",HC72="*"),1,"")</f>
        <v/>
      </c>
      <c r="HO71" s="41"/>
      <c r="HP71" s="41"/>
      <c r="HQ71" s="41"/>
      <c r="HR71" s="41"/>
      <c r="HS71" s="41"/>
      <c r="HT71" s="41" t="str">
        <f>IF(AND(HO71="*",OR(HP72="*",HQ72="*",HR72="*")), 1,"")</f>
        <v/>
      </c>
      <c r="HU71" s="41" t="str">
        <f>IF(AND(HO71="*",HS72="*"),1,"")</f>
        <v/>
      </c>
      <c r="HV71" s="41" t="str">
        <f>IF(AND(HS72="*", OR(HP71="*", HQ71="*",HR71="*")),1,"")</f>
        <v/>
      </c>
      <c r="HW71" s="41" t="str">
        <f>IF(AND(HO72="*",OR(HP71="*",HQ71="*",HR71="*",HS71="*")),1,IF(AND(HS71="*",OR(HO72="*",HP72="*",HQ72="*",HR72="*")),1,""))</f>
        <v/>
      </c>
      <c r="HX71" s="41" t="str">
        <f>IF(AND(HP71="*",OR(HP72="*",HQ72="*",HR72="*")),1,IF(AND(HQ71="*",OR(HP72="*",HQ72="*",HR72="*")),1,IF(AND(HR71="*",OR(HP72="*",HQ72="*",HR72="*")),1,"")))</f>
        <v/>
      </c>
      <c r="HY71" s="41" t="str">
        <f>IF(AND(HO71="*",HO72="*"),1,"")</f>
        <v/>
      </c>
      <c r="IA71" s="41"/>
      <c r="IB71" s="41"/>
      <c r="IC71" s="41"/>
      <c r="ID71" s="41"/>
      <c r="IE71" s="41"/>
      <c r="IF71" s="41" t="str">
        <f>IF(AND(IA71="*",OR(IB72="*",IC72="*",ID72="*")), 1,"")</f>
        <v/>
      </c>
      <c r="IG71" s="41" t="str">
        <f>IF(AND(IA71="*",IE72="*"),1,"")</f>
        <v/>
      </c>
      <c r="IH71" s="41" t="str">
        <f>IF(AND(IE72="*", OR(IB71="*", IC71="*",ID71="*")),1,"")</f>
        <v/>
      </c>
      <c r="II71" s="41" t="str">
        <f>IF(AND(IA72="*",OR(IB71="*",IC71="*",ID71="*",IE71="*")),1,IF(AND(IE71="*",OR(IA72="*",IB72="*",IC72="*",ID72="*")),1,""))</f>
        <v/>
      </c>
      <c r="IJ71" s="41" t="str">
        <f>IF(AND(IB71="*",OR(IB72="*",IC72="*",ID72="*")),1,IF(AND(IC71="*",OR(IB72="*",IC72="*",ID72="*")),1,IF(AND(ID71="*",OR(IB72="*",IC72="*",ID72="*")),1,"")))</f>
        <v/>
      </c>
      <c r="IK71" s="41" t="str">
        <f>IF(AND(IA71="*",IA72="*"),1,"")</f>
        <v/>
      </c>
      <c r="IL71" s="41">
        <f>COUNT(J71,V71,AH71,AT71,BF71,BS71,CE71,CQ71,DC71,DO71,EA71,EM71,EY71,FK71,FW71,GJ71,GV71,HH71,HT71,IF71)</f>
        <v>0</v>
      </c>
      <c r="IM71" s="41">
        <f t="shared" ref="IM71:IQ71" si="34">COUNT(K71,W71,AI71,AU71,BG71,BT71,CF71,CR71,DD71,DP71,EB71,EN71,EZ71,FL71,FX71,GK71,GW71,HI71,HU71,IG71)</f>
        <v>0</v>
      </c>
      <c r="IN71" s="41">
        <f t="shared" si="34"/>
        <v>0</v>
      </c>
      <c r="IO71" s="41">
        <f t="shared" si="34"/>
        <v>0</v>
      </c>
      <c r="IP71" s="41">
        <f t="shared" si="34"/>
        <v>0</v>
      </c>
      <c r="IQ71" s="41">
        <f t="shared" si="34"/>
        <v>0</v>
      </c>
    </row>
    <row r="72" spans="2:251" ht="15" customHeight="1" x14ac:dyDescent="0.4">
      <c r="B72" s="277"/>
      <c r="C72" s="279"/>
      <c r="D72" s="42" t="s">
        <v>52</v>
      </c>
      <c r="E72" s="41"/>
      <c r="F72" s="41"/>
      <c r="G72" s="41"/>
      <c r="H72" s="41"/>
      <c r="I72" s="41"/>
      <c r="J72" s="43"/>
      <c r="K72" s="43"/>
      <c r="M72" s="43"/>
      <c r="N72" s="43"/>
      <c r="O72" s="43"/>
      <c r="Q72" s="41"/>
      <c r="R72" s="41"/>
      <c r="S72" s="41"/>
      <c r="T72" s="41"/>
      <c r="U72" s="41"/>
      <c r="V72" s="43"/>
      <c r="W72" s="43"/>
      <c r="X72" s="43"/>
      <c r="Y72" s="43"/>
      <c r="Z72" s="43"/>
      <c r="AA72" s="43"/>
      <c r="AC72" s="41"/>
      <c r="AD72" s="41"/>
      <c r="AE72" s="41"/>
      <c r="AF72" s="41"/>
      <c r="AG72" s="41"/>
      <c r="AH72" s="43"/>
      <c r="AI72" s="43"/>
      <c r="AJ72" s="43"/>
      <c r="AK72" s="43"/>
      <c r="AL72" s="43"/>
      <c r="AM72" s="43"/>
      <c r="AO72" s="41"/>
      <c r="AP72" s="41"/>
      <c r="AQ72" s="41"/>
      <c r="AR72" s="41"/>
      <c r="AS72" s="41"/>
      <c r="AT72" s="43"/>
      <c r="AU72" s="43"/>
      <c r="AV72" s="43"/>
      <c r="AW72" s="43"/>
      <c r="AX72" s="43"/>
      <c r="AY72" s="43"/>
      <c r="BA72" s="41"/>
      <c r="BB72" s="41"/>
      <c r="BC72" s="41"/>
      <c r="BD72" s="41"/>
      <c r="BE72" s="41"/>
      <c r="BF72" s="43"/>
      <c r="BG72" s="43"/>
      <c r="BH72" s="43"/>
      <c r="BI72" s="43"/>
      <c r="BJ72" s="43"/>
      <c r="BK72" s="43"/>
      <c r="BM72" s="41"/>
      <c r="BN72" s="41"/>
      <c r="BO72" s="41"/>
      <c r="BP72" s="41"/>
      <c r="BQ72" s="41"/>
      <c r="BR72" s="41"/>
      <c r="BS72" s="43"/>
      <c r="BT72" s="43"/>
      <c r="BU72" s="43"/>
      <c r="BV72" s="43"/>
      <c r="BW72" s="43"/>
      <c r="BX72" s="43"/>
      <c r="BZ72" s="41"/>
      <c r="CA72" s="41"/>
      <c r="CB72" s="41"/>
      <c r="CC72" s="41"/>
      <c r="CD72" s="41"/>
      <c r="CE72" s="43"/>
      <c r="CF72" s="43"/>
      <c r="CG72" s="43"/>
      <c r="CH72" s="43"/>
      <c r="CI72" s="43"/>
      <c r="CJ72" s="43"/>
      <c r="CL72" s="41"/>
      <c r="CM72" s="41"/>
      <c r="CN72" s="41"/>
      <c r="CO72" s="41"/>
      <c r="CP72" s="41"/>
      <c r="CQ72" s="43"/>
      <c r="CR72" s="43"/>
      <c r="CS72" s="43"/>
      <c r="CT72" s="43"/>
      <c r="CU72" s="43"/>
      <c r="CV72" s="43"/>
      <c r="CX72" s="41"/>
      <c r="CY72" s="41"/>
      <c r="CZ72" s="41"/>
      <c r="DA72" s="41"/>
      <c r="DB72" s="41"/>
      <c r="DC72" s="43"/>
      <c r="DD72" s="43"/>
      <c r="DE72" s="43"/>
      <c r="DF72" s="43"/>
      <c r="DG72" s="43"/>
      <c r="DH72" s="43"/>
      <c r="DJ72" s="41"/>
      <c r="DK72" s="41"/>
      <c r="DL72" s="41"/>
      <c r="DM72" s="41"/>
      <c r="DN72" s="41"/>
      <c r="DO72" s="43"/>
      <c r="DP72" s="43"/>
      <c r="DQ72" s="43"/>
      <c r="DR72" s="43"/>
      <c r="DS72" s="43"/>
      <c r="DT72" s="43"/>
      <c r="DU72" s="43"/>
      <c r="DV72" s="41"/>
      <c r="DW72" s="41"/>
      <c r="DX72" s="41"/>
      <c r="DY72" s="41"/>
      <c r="DZ72" s="41"/>
      <c r="EA72" s="43"/>
      <c r="EB72" s="43"/>
      <c r="ED72" s="43"/>
      <c r="EE72" s="43"/>
      <c r="EF72" s="43"/>
      <c r="EH72" s="41"/>
      <c r="EI72" s="41"/>
      <c r="EJ72" s="41"/>
      <c r="EK72" s="41"/>
      <c r="EL72" s="41"/>
      <c r="EM72" s="43"/>
      <c r="EN72" s="43"/>
      <c r="EO72" s="43"/>
      <c r="EP72" s="43"/>
      <c r="EQ72" s="43"/>
      <c r="ER72" s="43"/>
      <c r="ET72" s="41"/>
      <c r="EU72" s="41"/>
      <c r="EV72" s="41"/>
      <c r="EW72" s="41"/>
      <c r="EX72" s="41"/>
      <c r="EY72" s="43"/>
      <c r="EZ72" s="43"/>
      <c r="FA72" s="43"/>
      <c r="FB72" s="43"/>
      <c r="FC72" s="43"/>
      <c r="FD72" s="43"/>
      <c r="FF72" s="41"/>
      <c r="FG72" s="41"/>
      <c r="FH72" s="41"/>
      <c r="FI72" s="41"/>
      <c r="FJ72" s="41"/>
      <c r="FK72" s="43"/>
      <c r="FL72" s="43"/>
      <c r="FM72" s="43"/>
      <c r="FN72" s="43"/>
      <c r="FO72" s="43"/>
      <c r="FP72" s="43"/>
      <c r="FR72" s="41"/>
      <c r="FS72" s="41"/>
      <c r="FT72" s="41"/>
      <c r="FU72" s="41"/>
      <c r="FV72" s="41"/>
      <c r="FW72" s="43"/>
      <c r="FX72" s="43"/>
      <c r="FY72" s="43"/>
      <c r="FZ72" s="43"/>
      <c r="GA72" s="43"/>
      <c r="GB72" s="43"/>
      <c r="GD72" s="41"/>
      <c r="GE72" s="41"/>
      <c r="GF72" s="41"/>
      <c r="GG72" s="41"/>
      <c r="GH72" s="41"/>
      <c r="GI72" s="41"/>
      <c r="GJ72" s="43"/>
      <c r="GK72" s="43"/>
      <c r="GL72" s="43"/>
      <c r="GM72" s="43"/>
      <c r="GN72" s="43"/>
      <c r="GO72" s="43"/>
      <c r="GQ72" s="41"/>
      <c r="GR72" s="41"/>
      <c r="GS72" s="41"/>
      <c r="GT72" s="41"/>
      <c r="GU72" s="41"/>
      <c r="GV72" s="43"/>
      <c r="GW72" s="43"/>
      <c r="GX72" s="43"/>
      <c r="GY72" s="43"/>
      <c r="GZ72" s="43"/>
      <c r="HA72" s="43"/>
      <c r="HC72" s="41"/>
      <c r="HD72" s="41"/>
      <c r="HE72" s="41"/>
      <c r="HF72" s="41"/>
      <c r="HG72" s="41"/>
      <c r="HH72" s="43"/>
      <c r="HI72" s="43"/>
      <c r="HJ72" s="43"/>
      <c r="HK72" s="43"/>
      <c r="HL72" s="43"/>
      <c r="HM72" s="43"/>
      <c r="HO72" s="41"/>
      <c r="HP72" s="41"/>
      <c r="HQ72" s="41"/>
      <c r="HR72" s="41"/>
      <c r="HS72" s="41"/>
      <c r="HT72" s="43"/>
      <c r="HU72" s="43"/>
      <c r="HV72" s="43"/>
      <c r="HW72" s="43"/>
      <c r="HX72" s="43"/>
      <c r="HY72" s="43"/>
      <c r="IA72" s="41"/>
      <c r="IB72" s="41"/>
      <c r="IC72" s="41"/>
      <c r="ID72" s="41"/>
      <c r="IE72" s="41"/>
      <c r="IF72" s="43"/>
      <c r="IG72" s="43"/>
      <c r="IH72" s="43"/>
      <c r="II72" s="43"/>
      <c r="IJ72" s="43"/>
      <c r="IK72" s="43"/>
    </row>
    <row r="73" spans="2:251" x14ac:dyDescent="0.4">
      <c r="L73" t="str">
        <f>IF(AND(I74="*", OR(F73="*", G73="*",H73="*")),1,"")</f>
        <v/>
      </c>
    </row>
    <row r="74" spans="2:251" x14ac:dyDescent="0.4">
      <c r="L74" s="43"/>
    </row>
  </sheetData>
  <mergeCells count="70">
    <mergeCell ref="B3:B4"/>
    <mergeCell ref="C3:C4"/>
    <mergeCell ref="B5:B6"/>
    <mergeCell ref="C5:C6"/>
    <mergeCell ref="B7:B8"/>
    <mergeCell ref="C7:C8"/>
    <mergeCell ref="B9:B10"/>
    <mergeCell ref="C9:C10"/>
    <mergeCell ref="B11:B12"/>
    <mergeCell ref="C11:C12"/>
    <mergeCell ref="B13:B14"/>
    <mergeCell ref="C13:C14"/>
    <mergeCell ref="B15:B16"/>
    <mergeCell ref="C15:C16"/>
    <mergeCell ref="B17:B18"/>
    <mergeCell ref="C17:C18"/>
    <mergeCell ref="B19:B20"/>
    <mergeCell ref="C19:C20"/>
    <mergeCell ref="B21:B22"/>
    <mergeCell ref="C21:C22"/>
    <mergeCell ref="B23:B24"/>
    <mergeCell ref="C23:C24"/>
    <mergeCell ref="B25:B26"/>
    <mergeCell ref="C25:C26"/>
    <mergeCell ref="B27:B28"/>
    <mergeCell ref="C27:C28"/>
    <mergeCell ref="B29:B30"/>
    <mergeCell ref="C29:C30"/>
    <mergeCell ref="B31:B32"/>
    <mergeCell ref="C31:C32"/>
    <mergeCell ref="B33:B34"/>
    <mergeCell ref="C33:C34"/>
    <mergeCell ref="B35:B36"/>
    <mergeCell ref="C35:C36"/>
    <mergeCell ref="B37:B38"/>
    <mergeCell ref="C37:C38"/>
    <mergeCell ref="B39:B40"/>
    <mergeCell ref="C39:C40"/>
    <mergeCell ref="B41:B42"/>
    <mergeCell ref="C41:C42"/>
    <mergeCell ref="B43:B44"/>
    <mergeCell ref="C43:C44"/>
    <mergeCell ref="B45:B46"/>
    <mergeCell ref="C45:C46"/>
    <mergeCell ref="B47:B48"/>
    <mergeCell ref="C47:C48"/>
    <mergeCell ref="B49:B50"/>
    <mergeCell ref="C49:C50"/>
    <mergeCell ref="B51:B52"/>
    <mergeCell ref="C51:C52"/>
    <mergeCell ref="B53:B54"/>
    <mergeCell ref="C53:C54"/>
    <mergeCell ref="B55:B56"/>
    <mergeCell ref="C55:C56"/>
    <mergeCell ref="B57:B58"/>
    <mergeCell ref="C57:C58"/>
    <mergeCell ref="B59:B60"/>
    <mergeCell ref="C59:C60"/>
    <mergeCell ref="B61:B62"/>
    <mergeCell ref="C61:C62"/>
    <mergeCell ref="B69:B70"/>
    <mergeCell ref="C69:C70"/>
    <mergeCell ref="B71:B72"/>
    <mergeCell ref="C71:C72"/>
    <mergeCell ref="B63:B64"/>
    <mergeCell ref="C63:C64"/>
    <mergeCell ref="B65:B66"/>
    <mergeCell ref="C65:C66"/>
    <mergeCell ref="B67:B68"/>
    <mergeCell ref="C67:C68"/>
  </mergeCells>
  <phoneticPr fontId="6" type="noConversion"/>
  <pageMargins left="0.23622047244094491" right="0.23622047244094491" top="0.15748031496062992" bottom="0.19685039370078741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39"/>
  <sheetViews>
    <sheetView workbookViewId="0">
      <selection activeCell="L23" sqref="L23"/>
    </sheetView>
  </sheetViews>
  <sheetFormatPr defaultRowHeight="17.399999999999999" x14ac:dyDescent="0.4"/>
  <cols>
    <col min="1" max="1" width="5.69921875" customWidth="1"/>
    <col min="2" max="2" width="33.19921875" customWidth="1"/>
  </cols>
  <sheetData>
    <row r="2" spans="1:10" x14ac:dyDescent="0.4">
      <c r="A2" s="266" t="s">
        <v>77</v>
      </c>
      <c r="B2" s="266"/>
      <c r="C2" s="266"/>
      <c r="D2" s="266"/>
      <c r="E2" s="266"/>
      <c r="F2" s="266"/>
      <c r="G2" s="266"/>
      <c r="H2" s="266"/>
      <c r="I2" s="266"/>
      <c r="J2" s="266"/>
    </row>
    <row r="3" spans="1:10" ht="18" thickBot="1" x14ac:dyDescent="0.45"/>
    <row r="4" spans="1:10" ht="18" thickBot="1" x14ac:dyDescent="0.45">
      <c r="A4" s="45" t="s">
        <v>78</v>
      </c>
      <c r="B4" s="46" t="s">
        <v>79</v>
      </c>
      <c r="C4" s="47" t="s">
        <v>80</v>
      </c>
      <c r="D4" s="48" t="s">
        <v>81</v>
      </c>
      <c r="E4" s="48" t="s">
        <v>82</v>
      </c>
      <c r="F4" s="48" t="s">
        <v>83</v>
      </c>
      <c r="G4" s="48" t="s">
        <v>84</v>
      </c>
      <c r="H4" s="49" t="s">
        <v>85</v>
      </c>
      <c r="I4" s="50" t="s">
        <v>86</v>
      </c>
      <c r="J4" s="51" t="s">
        <v>87</v>
      </c>
    </row>
    <row r="5" spans="1:10" x14ac:dyDescent="0.4">
      <c r="A5" s="52">
        <f>고객요구사항도출표!B5</f>
        <v>1</v>
      </c>
      <c r="B5" s="53" t="str">
        <f>IF(고객요구사항도출표!C5="","",고객요구사항도출표!C5)</f>
        <v/>
      </c>
      <c r="C5" s="54">
        <f>KANO질문지!IL3</f>
        <v>0</v>
      </c>
      <c r="D5" s="54">
        <f>KANO질문지!IM3</f>
        <v>0</v>
      </c>
      <c r="E5" s="54">
        <f>KANO질문지!IN3</f>
        <v>0</v>
      </c>
      <c r="F5" s="54">
        <f>KANO질문지!IO3</f>
        <v>0</v>
      </c>
      <c r="G5" s="54">
        <f>KANO질문지!IP3</f>
        <v>0</v>
      </c>
      <c r="H5" s="55">
        <f t="shared" ref="H5:H39" si="0">SUM(C5:G5)</f>
        <v>0</v>
      </c>
      <c r="I5" s="56" t="e">
        <f t="shared" ref="I5:I39" si="1">(C5+D5)/(C5+D5+E5+G5)</f>
        <v>#DIV/0!</v>
      </c>
      <c r="J5" s="57" t="e">
        <f t="shared" ref="J5:J39" si="2">-(D5+E5)/(C5+D5+E5+G5)</f>
        <v>#DIV/0!</v>
      </c>
    </row>
    <row r="6" spans="1:10" x14ac:dyDescent="0.4">
      <c r="A6" s="52">
        <f>고객요구사항도출표!B6</f>
        <v>2</v>
      </c>
      <c r="B6" s="53" t="str">
        <f>IF(고객요구사항도출표!C6="","",고객요구사항도출표!C6)</f>
        <v/>
      </c>
      <c r="C6" s="55">
        <f>KANO질문지!IL5</f>
        <v>0</v>
      </c>
      <c r="D6" s="55">
        <f>KANO질문지!IM5</f>
        <v>0</v>
      </c>
      <c r="E6" s="55">
        <f>KANO질문지!IN5</f>
        <v>0</v>
      </c>
      <c r="F6" s="55">
        <f>KANO질문지!IO5</f>
        <v>0</v>
      </c>
      <c r="G6" s="55">
        <f>KANO질문지!IP5</f>
        <v>0</v>
      </c>
      <c r="H6" s="55">
        <f t="shared" si="0"/>
        <v>0</v>
      </c>
      <c r="I6" s="56" t="e">
        <f t="shared" si="1"/>
        <v>#DIV/0!</v>
      </c>
      <c r="J6" s="57" t="e">
        <f t="shared" si="2"/>
        <v>#DIV/0!</v>
      </c>
    </row>
    <row r="7" spans="1:10" x14ac:dyDescent="0.4">
      <c r="A7" s="52">
        <f>고객요구사항도출표!B7</f>
        <v>3</v>
      </c>
      <c r="B7" s="53" t="str">
        <f>IF(고객요구사항도출표!C7="","",고객요구사항도출표!C7)</f>
        <v/>
      </c>
      <c r="C7" s="54">
        <f>KANO질문지!IL7</f>
        <v>0</v>
      </c>
      <c r="D7" s="54">
        <f>KANO질문지!IM7</f>
        <v>0</v>
      </c>
      <c r="E7" s="54">
        <f>KANO질문지!IN7</f>
        <v>0</v>
      </c>
      <c r="F7" s="54">
        <f>KANO질문지!IO7</f>
        <v>0</v>
      </c>
      <c r="G7" s="54">
        <f>KANO질문지!IP7</f>
        <v>0</v>
      </c>
      <c r="H7" s="55">
        <f t="shared" si="0"/>
        <v>0</v>
      </c>
      <c r="I7" s="56" t="e">
        <f t="shared" si="1"/>
        <v>#DIV/0!</v>
      </c>
      <c r="J7" s="57" t="e">
        <f t="shared" si="2"/>
        <v>#DIV/0!</v>
      </c>
    </row>
    <row r="8" spans="1:10" x14ac:dyDescent="0.4">
      <c r="A8" s="52">
        <f>고객요구사항도출표!B8</f>
        <v>4</v>
      </c>
      <c r="B8" s="53" t="str">
        <f>IF(고객요구사항도출표!C8="","",고객요구사항도출표!C8)</f>
        <v/>
      </c>
      <c r="C8" s="55">
        <f>KANO질문지!IL9</f>
        <v>0</v>
      </c>
      <c r="D8" s="55">
        <f>KANO질문지!IM9</f>
        <v>0</v>
      </c>
      <c r="E8" s="55">
        <f>KANO질문지!IN9</f>
        <v>0</v>
      </c>
      <c r="F8" s="55">
        <f>KANO질문지!IO9</f>
        <v>0</v>
      </c>
      <c r="G8" s="55">
        <f>KANO질문지!IP9</f>
        <v>0</v>
      </c>
      <c r="H8" s="55">
        <f t="shared" si="0"/>
        <v>0</v>
      </c>
      <c r="I8" s="56" t="e">
        <f t="shared" si="1"/>
        <v>#DIV/0!</v>
      </c>
      <c r="J8" s="57" t="e">
        <f t="shared" si="2"/>
        <v>#DIV/0!</v>
      </c>
    </row>
    <row r="9" spans="1:10" x14ac:dyDescent="0.4">
      <c r="A9" s="52">
        <f>고객요구사항도출표!B9</f>
        <v>5</v>
      </c>
      <c r="B9" s="53" t="str">
        <f>IF(고객요구사항도출표!C9="","",고객요구사항도출표!C9)</f>
        <v/>
      </c>
      <c r="C9" s="55">
        <f>KANO질문지!IL11</f>
        <v>0</v>
      </c>
      <c r="D9" s="55">
        <f>KANO질문지!IM11</f>
        <v>0</v>
      </c>
      <c r="E9" s="55">
        <f>KANO질문지!IN11</f>
        <v>0</v>
      </c>
      <c r="F9" s="55">
        <f>KANO질문지!IO11</f>
        <v>0</v>
      </c>
      <c r="G9" s="55">
        <f>KANO질문지!IP11</f>
        <v>0</v>
      </c>
      <c r="H9" s="55">
        <f t="shared" si="0"/>
        <v>0</v>
      </c>
      <c r="I9" s="56" t="e">
        <f t="shared" si="1"/>
        <v>#DIV/0!</v>
      </c>
      <c r="J9" s="57" t="e">
        <f t="shared" si="2"/>
        <v>#DIV/0!</v>
      </c>
    </row>
    <row r="10" spans="1:10" x14ac:dyDescent="0.4">
      <c r="A10" s="52">
        <f>고객요구사항도출표!B10</f>
        <v>6</v>
      </c>
      <c r="B10" s="53" t="str">
        <f>IF(고객요구사항도출표!C10="","",고객요구사항도출표!C10)</f>
        <v/>
      </c>
      <c r="C10" s="55">
        <f>KANO질문지!IL13</f>
        <v>0</v>
      </c>
      <c r="D10" s="55">
        <f>KANO질문지!IM13</f>
        <v>0</v>
      </c>
      <c r="E10" s="55">
        <f>KANO질문지!IN13</f>
        <v>0</v>
      </c>
      <c r="F10" s="55">
        <f>KANO질문지!IO13</f>
        <v>0</v>
      </c>
      <c r="G10" s="55">
        <f>KANO질문지!IP13</f>
        <v>0</v>
      </c>
      <c r="H10" s="55">
        <f t="shared" si="0"/>
        <v>0</v>
      </c>
      <c r="I10" s="56" t="e">
        <f t="shared" si="1"/>
        <v>#DIV/0!</v>
      </c>
      <c r="J10" s="57" t="e">
        <f t="shared" si="2"/>
        <v>#DIV/0!</v>
      </c>
    </row>
    <row r="11" spans="1:10" x14ac:dyDescent="0.4">
      <c r="A11" s="52">
        <f>고객요구사항도출표!B11</f>
        <v>7</v>
      </c>
      <c r="B11" s="53" t="str">
        <f>IF(고객요구사항도출표!C11="","",고객요구사항도출표!C11)</f>
        <v/>
      </c>
      <c r="C11" s="55">
        <f>KANO질문지!IL15</f>
        <v>0</v>
      </c>
      <c r="D11" s="55">
        <f>KANO질문지!IM15</f>
        <v>0</v>
      </c>
      <c r="E11" s="55">
        <f>KANO질문지!IN15</f>
        <v>0</v>
      </c>
      <c r="F11" s="55">
        <f>KANO질문지!IO15</f>
        <v>0</v>
      </c>
      <c r="G11" s="55">
        <f>KANO질문지!IP15</f>
        <v>0</v>
      </c>
      <c r="H11" s="55">
        <f t="shared" si="0"/>
        <v>0</v>
      </c>
      <c r="I11" s="56" t="e">
        <f t="shared" si="1"/>
        <v>#DIV/0!</v>
      </c>
      <c r="J11" s="57" t="e">
        <f t="shared" si="2"/>
        <v>#DIV/0!</v>
      </c>
    </row>
    <row r="12" spans="1:10" x14ac:dyDescent="0.4">
      <c r="A12" s="52">
        <f>고객요구사항도출표!B12</f>
        <v>8</v>
      </c>
      <c r="B12" s="53" t="str">
        <f>IF(고객요구사항도출표!C12="","",고객요구사항도출표!C12)</f>
        <v/>
      </c>
      <c r="C12" s="55">
        <f>KANO질문지!IL17</f>
        <v>0</v>
      </c>
      <c r="D12" s="55">
        <f>KANO질문지!IM17</f>
        <v>0</v>
      </c>
      <c r="E12" s="55">
        <f>KANO질문지!IN17</f>
        <v>0</v>
      </c>
      <c r="F12" s="55">
        <f>KANO질문지!IO17</f>
        <v>0</v>
      </c>
      <c r="G12" s="55">
        <f>KANO질문지!IP17</f>
        <v>0</v>
      </c>
      <c r="H12" s="55">
        <f t="shared" si="0"/>
        <v>0</v>
      </c>
      <c r="I12" s="56" t="e">
        <f t="shared" si="1"/>
        <v>#DIV/0!</v>
      </c>
      <c r="J12" s="57" t="e">
        <f t="shared" si="2"/>
        <v>#DIV/0!</v>
      </c>
    </row>
    <row r="13" spans="1:10" x14ac:dyDescent="0.4">
      <c r="A13" s="52">
        <f>고객요구사항도출표!B13</f>
        <v>9</v>
      </c>
      <c r="B13" s="53" t="str">
        <f>IF(고객요구사항도출표!C13="","",고객요구사항도출표!C13)</f>
        <v/>
      </c>
      <c r="C13" s="54">
        <f>KANO질문지!IL19</f>
        <v>0</v>
      </c>
      <c r="D13" s="54">
        <f>KANO질문지!IM19</f>
        <v>0</v>
      </c>
      <c r="E13" s="54">
        <f>KANO질문지!IN19</f>
        <v>0</v>
      </c>
      <c r="F13" s="54">
        <f>KANO질문지!IO19</f>
        <v>0</v>
      </c>
      <c r="G13" s="54">
        <f>KANO질문지!IP19</f>
        <v>0</v>
      </c>
      <c r="H13" s="55">
        <f t="shared" si="0"/>
        <v>0</v>
      </c>
      <c r="I13" s="56" t="e">
        <f t="shared" si="1"/>
        <v>#DIV/0!</v>
      </c>
      <c r="J13" s="57" t="e">
        <f t="shared" si="2"/>
        <v>#DIV/0!</v>
      </c>
    </row>
    <row r="14" spans="1:10" x14ac:dyDescent="0.4">
      <c r="A14" s="52">
        <f>고객요구사항도출표!B14</f>
        <v>10</v>
      </c>
      <c r="B14" s="53" t="str">
        <f>IF(고객요구사항도출표!C14="","",고객요구사항도출표!C14)</f>
        <v/>
      </c>
      <c r="C14" s="55">
        <f>KANO질문지!IL21</f>
        <v>0</v>
      </c>
      <c r="D14" s="55">
        <f>KANO질문지!IM21</f>
        <v>0</v>
      </c>
      <c r="E14" s="55">
        <f>KANO질문지!IN21</f>
        <v>0</v>
      </c>
      <c r="F14" s="55">
        <f>KANO질문지!IO21</f>
        <v>0</v>
      </c>
      <c r="G14" s="55">
        <f>KANO질문지!IP21</f>
        <v>0</v>
      </c>
      <c r="H14" s="55">
        <f t="shared" si="0"/>
        <v>0</v>
      </c>
      <c r="I14" s="56" t="e">
        <f t="shared" si="1"/>
        <v>#DIV/0!</v>
      </c>
      <c r="J14" s="57" t="e">
        <f t="shared" si="2"/>
        <v>#DIV/0!</v>
      </c>
    </row>
    <row r="15" spans="1:10" x14ac:dyDescent="0.4">
      <c r="A15" s="52">
        <f>고객요구사항도출표!B15</f>
        <v>11</v>
      </c>
      <c r="B15" s="53" t="str">
        <f>IF(고객요구사항도출표!C15="","",고객요구사항도출표!C15)</f>
        <v/>
      </c>
      <c r="C15" s="55">
        <f>KANO질문지!IL23</f>
        <v>0</v>
      </c>
      <c r="D15" s="55">
        <f>KANO질문지!IM23</f>
        <v>0</v>
      </c>
      <c r="E15" s="55">
        <f>KANO질문지!IN23</f>
        <v>0</v>
      </c>
      <c r="F15" s="55">
        <f>KANO질문지!IO23</f>
        <v>0</v>
      </c>
      <c r="G15" s="55">
        <f>KANO질문지!IP23</f>
        <v>0</v>
      </c>
      <c r="H15" s="55">
        <f t="shared" si="0"/>
        <v>0</v>
      </c>
      <c r="I15" s="56" t="e">
        <f t="shared" si="1"/>
        <v>#DIV/0!</v>
      </c>
      <c r="J15" s="57" t="e">
        <f t="shared" si="2"/>
        <v>#DIV/0!</v>
      </c>
    </row>
    <row r="16" spans="1:10" x14ac:dyDescent="0.4">
      <c r="A16" s="52">
        <f>고객요구사항도출표!B16</f>
        <v>12</v>
      </c>
      <c r="B16" s="53" t="str">
        <f>IF(고객요구사항도출표!C16="","",고객요구사항도출표!C16)</f>
        <v/>
      </c>
      <c r="C16" s="55">
        <f>KANO질문지!IL25</f>
        <v>0</v>
      </c>
      <c r="D16" s="55">
        <f>KANO질문지!IM25</f>
        <v>0</v>
      </c>
      <c r="E16" s="55">
        <f>KANO질문지!IN25</f>
        <v>0</v>
      </c>
      <c r="F16" s="55">
        <f>KANO질문지!IO25</f>
        <v>0</v>
      </c>
      <c r="G16" s="55">
        <f>KANO질문지!IP25</f>
        <v>0</v>
      </c>
      <c r="H16" s="55">
        <f t="shared" si="0"/>
        <v>0</v>
      </c>
      <c r="I16" s="56" t="e">
        <f t="shared" si="1"/>
        <v>#DIV/0!</v>
      </c>
      <c r="J16" s="57" t="e">
        <f t="shared" si="2"/>
        <v>#DIV/0!</v>
      </c>
    </row>
    <row r="17" spans="1:10" x14ac:dyDescent="0.4">
      <c r="A17" s="52">
        <f>고객요구사항도출표!B17</f>
        <v>13</v>
      </c>
      <c r="B17" s="53" t="str">
        <f>IF(고객요구사항도출표!C17="","",고객요구사항도출표!C17)</f>
        <v/>
      </c>
      <c r="C17" s="55">
        <f>KANO질문지!IL27</f>
        <v>0</v>
      </c>
      <c r="D17" s="55">
        <f>KANO질문지!IM27</f>
        <v>0</v>
      </c>
      <c r="E17" s="55">
        <f>KANO질문지!IN27</f>
        <v>0</v>
      </c>
      <c r="F17" s="55">
        <f>KANO질문지!IO27</f>
        <v>0</v>
      </c>
      <c r="G17" s="55">
        <f>KANO질문지!IP27</f>
        <v>0</v>
      </c>
      <c r="H17" s="55">
        <f t="shared" si="0"/>
        <v>0</v>
      </c>
      <c r="I17" s="56" t="e">
        <f t="shared" si="1"/>
        <v>#DIV/0!</v>
      </c>
      <c r="J17" s="57" t="e">
        <f t="shared" si="2"/>
        <v>#DIV/0!</v>
      </c>
    </row>
    <row r="18" spans="1:10" x14ac:dyDescent="0.4">
      <c r="A18" s="52">
        <f>고객요구사항도출표!B18</f>
        <v>14</v>
      </c>
      <c r="B18" s="53" t="str">
        <f>IF(고객요구사항도출표!C18="","",고객요구사항도출표!C18)</f>
        <v/>
      </c>
      <c r="C18" s="55">
        <f>KANO질문지!IL29</f>
        <v>0</v>
      </c>
      <c r="D18" s="55">
        <f>KANO질문지!IM29</f>
        <v>0</v>
      </c>
      <c r="E18" s="55">
        <f>KANO질문지!IN29</f>
        <v>0</v>
      </c>
      <c r="F18" s="55">
        <f>KANO질문지!IO29</f>
        <v>0</v>
      </c>
      <c r="G18" s="55">
        <f>KANO질문지!IP29</f>
        <v>0</v>
      </c>
      <c r="H18" s="55">
        <f t="shared" si="0"/>
        <v>0</v>
      </c>
      <c r="I18" s="56" t="e">
        <f t="shared" si="1"/>
        <v>#DIV/0!</v>
      </c>
      <c r="J18" s="57" t="e">
        <f t="shared" si="2"/>
        <v>#DIV/0!</v>
      </c>
    </row>
    <row r="19" spans="1:10" x14ac:dyDescent="0.4">
      <c r="A19" s="52">
        <f>고객요구사항도출표!B19</f>
        <v>15</v>
      </c>
      <c r="B19" s="53" t="str">
        <f>IF(고객요구사항도출표!C19="","",고객요구사항도출표!C19)</f>
        <v/>
      </c>
      <c r="C19" s="55">
        <f>KANO질문지!IL31</f>
        <v>0</v>
      </c>
      <c r="D19" s="55">
        <f>KANO질문지!IM31</f>
        <v>0</v>
      </c>
      <c r="E19" s="55">
        <f>KANO질문지!IN31</f>
        <v>0</v>
      </c>
      <c r="F19" s="55">
        <f>KANO질문지!IO31</f>
        <v>0</v>
      </c>
      <c r="G19" s="55">
        <f>KANO질문지!IP31</f>
        <v>0</v>
      </c>
      <c r="H19" s="55">
        <f t="shared" si="0"/>
        <v>0</v>
      </c>
      <c r="I19" s="56" t="e">
        <f t="shared" si="1"/>
        <v>#DIV/0!</v>
      </c>
      <c r="J19" s="57" t="e">
        <f t="shared" si="2"/>
        <v>#DIV/0!</v>
      </c>
    </row>
    <row r="20" spans="1:10" x14ac:dyDescent="0.4">
      <c r="A20" s="52">
        <f>고객요구사항도출표!B20</f>
        <v>16</v>
      </c>
      <c r="B20" s="53" t="str">
        <f>IF(고객요구사항도출표!C20="","",고객요구사항도출표!C20)</f>
        <v/>
      </c>
      <c r="C20" s="55">
        <f>KANO질문지!IL33</f>
        <v>0</v>
      </c>
      <c r="D20" s="55">
        <f>KANO질문지!IM33</f>
        <v>0</v>
      </c>
      <c r="E20" s="55">
        <f>KANO질문지!IN33</f>
        <v>0</v>
      </c>
      <c r="F20" s="55">
        <f>KANO질문지!IO33</f>
        <v>0</v>
      </c>
      <c r="G20" s="55">
        <f>KANO질문지!IP33</f>
        <v>0</v>
      </c>
      <c r="H20" s="55">
        <f t="shared" si="0"/>
        <v>0</v>
      </c>
      <c r="I20" s="56" t="e">
        <f t="shared" si="1"/>
        <v>#DIV/0!</v>
      </c>
      <c r="J20" s="57" t="e">
        <f t="shared" si="2"/>
        <v>#DIV/0!</v>
      </c>
    </row>
    <row r="21" spans="1:10" x14ac:dyDescent="0.4">
      <c r="A21" s="52">
        <f>고객요구사항도출표!B21</f>
        <v>17</v>
      </c>
      <c r="B21" s="53" t="str">
        <f>IF(고객요구사항도출표!C21="","",고객요구사항도출표!C21)</f>
        <v/>
      </c>
      <c r="C21" s="55">
        <f>KANO질문지!IL35</f>
        <v>0</v>
      </c>
      <c r="D21" s="55">
        <f>KANO질문지!IM35</f>
        <v>0</v>
      </c>
      <c r="E21" s="55">
        <f>KANO질문지!IN35</f>
        <v>0</v>
      </c>
      <c r="F21" s="55">
        <f>KANO질문지!IO35</f>
        <v>0</v>
      </c>
      <c r="G21" s="55">
        <f>KANO질문지!IP35</f>
        <v>0</v>
      </c>
      <c r="H21" s="55">
        <f t="shared" si="0"/>
        <v>0</v>
      </c>
      <c r="I21" s="56" t="e">
        <f t="shared" si="1"/>
        <v>#DIV/0!</v>
      </c>
      <c r="J21" s="57" t="e">
        <f t="shared" si="2"/>
        <v>#DIV/0!</v>
      </c>
    </row>
    <row r="22" spans="1:10" x14ac:dyDescent="0.4">
      <c r="A22" s="52">
        <f>고객요구사항도출표!B22</f>
        <v>18</v>
      </c>
      <c r="B22" s="53" t="str">
        <f>IF(고객요구사항도출표!C22="","",고객요구사항도출표!C22)</f>
        <v/>
      </c>
      <c r="C22" s="55">
        <f>KANO질문지!IL37</f>
        <v>0</v>
      </c>
      <c r="D22" s="55">
        <f>KANO질문지!IM37</f>
        <v>0</v>
      </c>
      <c r="E22" s="55">
        <f>KANO질문지!IN37</f>
        <v>0</v>
      </c>
      <c r="F22" s="55">
        <f>KANO질문지!IO37</f>
        <v>0</v>
      </c>
      <c r="G22" s="55">
        <f>KANO질문지!IP37</f>
        <v>0</v>
      </c>
      <c r="H22" s="55">
        <f t="shared" si="0"/>
        <v>0</v>
      </c>
      <c r="I22" s="56" t="e">
        <f t="shared" si="1"/>
        <v>#DIV/0!</v>
      </c>
      <c r="J22" s="57" t="e">
        <f t="shared" si="2"/>
        <v>#DIV/0!</v>
      </c>
    </row>
    <row r="23" spans="1:10" x14ac:dyDescent="0.4">
      <c r="A23" s="52">
        <f>고객요구사항도출표!B23</f>
        <v>19</v>
      </c>
      <c r="B23" s="53" t="str">
        <f>IF(고객요구사항도출표!C23="","",고객요구사항도출표!C23)</f>
        <v/>
      </c>
      <c r="C23" s="55">
        <f>KANO질문지!IL39</f>
        <v>0</v>
      </c>
      <c r="D23" s="55">
        <f>KANO질문지!IM39</f>
        <v>0</v>
      </c>
      <c r="E23" s="55">
        <f>KANO질문지!IN39</f>
        <v>0</v>
      </c>
      <c r="F23" s="55">
        <f>KANO질문지!IO39</f>
        <v>0</v>
      </c>
      <c r="G23" s="55">
        <f>KANO질문지!IP39</f>
        <v>0</v>
      </c>
      <c r="H23" s="55">
        <f t="shared" si="0"/>
        <v>0</v>
      </c>
      <c r="I23" s="56" t="e">
        <f t="shared" si="1"/>
        <v>#DIV/0!</v>
      </c>
      <c r="J23" s="57" t="e">
        <f t="shared" si="2"/>
        <v>#DIV/0!</v>
      </c>
    </row>
    <row r="24" spans="1:10" x14ac:dyDescent="0.4">
      <c r="A24" s="52">
        <f>고객요구사항도출표!B24</f>
        <v>20</v>
      </c>
      <c r="B24" s="53" t="str">
        <f>IF(고객요구사항도출표!C24="","",고객요구사항도출표!C24)</f>
        <v/>
      </c>
      <c r="C24" s="55">
        <f>KANO질문지!IL41</f>
        <v>0</v>
      </c>
      <c r="D24" s="55">
        <f>KANO질문지!IM41</f>
        <v>0</v>
      </c>
      <c r="E24" s="55">
        <f>KANO질문지!IN41</f>
        <v>0</v>
      </c>
      <c r="F24" s="55">
        <f>KANO질문지!IO41</f>
        <v>0</v>
      </c>
      <c r="G24" s="55">
        <f>KANO질문지!IP41</f>
        <v>0</v>
      </c>
      <c r="H24" s="55">
        <f t="shared" si="0"/>
        <v>0</v>
      </c>
      <c r="I24" s="56" t="e">
        <f t="shared" si="1"/>
        <v>#DIV/0!</v>
      </c>
      <c r="J24" s="57" t="e">
        <f t="shared" si="2"/>
        <v>#DIV/0!</v>
      </c>
    </row>
    <row r="25" spans="1:10" x14ac:dyDescent="0.4">
      <c r="A25" s="52">
        <f>고객요구사항도출표!B25</f>
        <v>21</v>
      </c>
      <c r="B25" s="53" t="str">
        <f>IF(고객요구사항도출표!C25="","",고객요구사항도출표!C25)</f>
        <v/>
      </c>
      <c r="C25" s="55">
        <f>KANO질문지!IL43</f>
        <v>0</v>
      </c>
      <c r="D25" s="55">
        <f>KANO질문지!IM43</f>
        <v>0</v>
      </c>
      <c r="E25" s="55">
        <f>KANO질문지!IN43</f>
        <v>0</v>
      </c>
      <c r="F25" s="55">
        <f>KANO질문지!IO43</f>
        <v>0</v>
      </c>
      <c r="G25" s="55">
        <f>KANO질문지!IP43</f>
        <v>0</v>
      </c>
      <c r="H25" s="55">
        <f t="shared" si="0"/>
        <v>0</v>
      </c>
      <c r="I25" s="56" t="e">
        <f t="shared" si="1"/>
        <v>#DIV/0!</v>
      </c>
      <c r="J25" s="57" t="e">
        <f t="shared" si="2"/>
        <v>#DIV/0!</v>
      </c>
    </row>
    <row r="26" spans="1:10" x14ac:dyDescent="0.4">
      <c r="A26" s="52">
        <f>고객요구사항도출표!B26</f>
        <v>22</v>
      </c>
      <c r="B26" s="53" t="str">
        <f>IF(고객요구사항도출표!C26="","",고객요구사항도출표!C26)</f>
        <v/>
      </c>
      <c r="C26" s="55">
        <f>KANO질문지!IL45</f>
        <v>0</v>
      </c>
      <c r="D26" s="55">
        <f>KANO질문지!IM45</f>
        <v>0</v>
      </c>
      <c r="E26" s="55">
        <f>KANO질문지!IN45</f>
        <v>0</v>
      </c>
      <c r="F26" s="55">
        <f>KANO질문지!IO45</f>
        <v>0</v>
      </c>
      <c r="G26" s="55">
        <f>KANO질문지!IP45</f>
        <v>0</v>
      </c>
      <c r="H26" s="55">
        <f t="shared" si="0"/>
        <v>0</v>
      </c>
      <c r="I26" s="56" t="e">
        <f t="shared" si="1"/>
        <v>#DIV/0!</v>
      </c>
      <c r="J26" s="57" t="e">
        <f t="shared" si="2"/>
        <v>#DIV/0!</v>
      </c>
    </row>
    <row r="27" spans="1:10" x14ac:dyDescent="0.4">
      <c r="A27" s="52">
        <f>고객요구사항도출표!B27</f>
        <v>23</v>
      </c>
      <c r="B27" s="53" t="str">
        <f>IF(고객요구사항도출표!C27="","",고객요구사항도출표!C27)</f>
        <v/>
      </c>
      <c r="C27" s="55">
        <f>KANO질문지!IL47</f>
        <v>0</v>
      </c>
      <c r="D27" s="55">
        <f>KANO질문지!IM47</f>
        <v>0</v>
      </c>
      <c r="E27" s="55">
        <f>KANO질문지!IN47</f>
        <v>0</v>
      </c>
      <c r="F27" s="55">
        <f>KANO질문지!IO47</f>
        <v>0</v>
      </c>
      <c r="G27" s="55">
        <f>KANO질문지!IP47</f>
        <v>0</v>
      </c>
      <c r="H27" s="55">
        <f t="shared" si="0"/>
        <v>0</v>
      </c>
      <c r="I27" s="56" t="e">
        <f t="shared" si="1"/>
        <v>#DIV/0!</v>
      </c>
      <c r="J27" s="57" t="e">
        <f t="shared" si="2"/>
        <v>#DIV/0!</v>
      </c>
    </row>
    <row r="28" spans="1:10" x14ac:dyDescent="0.4">
      <c r="A28" s="52">
        <f>고객요구사항도출표!B28</f>
        <v>24</v>
      </c>
      <c r="B28" s="53" t="str">
        <f>IF(고객요구사항도출표!C28="","",고객요구사항도출표!C28)</f>
        <v/>
      </c>
      <c r="C28" s="2">
        <f>KANO질문지!IL49</f>
        <v>0</v>
      </c>
      <c r="D28" s="2">
        <f>KANO질문지!IM49</f>
        <v>0</v>
      </c>
      <c r="E28" s="2">
        <f>KANO질문지!IN49</f>
        <v>0</v>
      </c>
      <c r="F28" s="2">
        <f>KANO질문지!IO49</f>
        <v>0</v>
      </c>
      <c r="G28" s="2">
        <f>KANO질문지!IP49</f>
        <v>0</v>
      </c>
      <c r="H28" s="55">
        <f t="shared" si="0"/>
        <v>0</v>
      </c>
      <c r="I28" s="56" t="e">
        <f t="shared" si="1"/>
        <v>#DIV/0!</v>
      </c>
      <c r="J28" s="57" t="e">
        <f t="shared" si="2"/>
        <v>#DIV/0!</v>
      </c>
    </row>
    <row r="29" spans="1:10" x14ac:dyDescent="0.4">
      <c r="A29" s="52">
        <f>고객요구사항도출표!B29</f>
        <v>25</v>
      </c>
      <c r="B29" s="53" t="str">
        <f>IF(고객요구사항도출표!C29="","",고객요구사항도출표!C29)</f>
        <v/>
      </c>
      <c r="C29" s="2">
        <f>KANO질문지!IL51</f>
        <v>0</v>
      </c>
      <c r="D29" s="2">
        <f>KANO질문지!IM51</f>
        <v>0</v>
      </c>
      <c r="E29" s="2">
        <f>KANO질문지!IN51</f>
        <v>0</v>
      </c>
      <c r="F29" s="2">
        <f>KANO질문지!IO51</f>
        <v>0</v>
      </c>
      <c r="G29" s="2">
        <f>KANO질문지!IP51</f>
        <v>0</v>
      </c>
      <c r="H29" s="55">
        <f t="shared" si="0"/>
        <v>0</v>
      </c>
      <c r="I29" s="56" t="e">
        <f t="shared" si="1"/>
        <v>#DIV/0!</v>
      </c>
      <c r="J29" s="57" t="e">
        <f t="shared" si="2"/>
        <v>#DIV/0!</v>
      </c>
    </row>
    <row r="30" spans="1:10" x14ac:dyDescent="0.4">
      <c r="A30" s="52">
        <f>고객요구사항도출표!B30</f>
        <v>26</v>
      </c>
      <c r="B30" s="53" t="str">
        <f>IF(고객요구사항도출표!C30="","",고객요구사항도출표!C30)</f>
        <v/>
      </c>
      <c r="C30" s="2">
        <f>KANO질문지!IL53</f>
        <v>0</v>
      </c>
      <c r="D30" s="2">
        <f>KANO질문지!IM53</f>
        <v>0</v>
      </c>
      <c r="E30" s="2">
        <f>KANO질문지!IN53</f>
        <v>0</v>
      </c>
      <c r="F30" s="2">
        <f>KANO질문지!IO53</f>
        <v>0</v>
      </c>
      <c r="G30" s="2">
        <f>KANO질문지!IP53</f>
        <v>0</v>
      </c>
      <c r="H30" s="55">
        <f t="shared" si="0"/>
        <v>0</v>
      </c>
      <c r="I30" s="56" t="e">
        <f t="shared" si="1"/>
        <v>#DIV/0!</v>
      </c>
      <c r="J30" s="57" t="e">
        <f t="shared" si="2"/>
        <v>#DIV/0!</v>
      </c>
    </row>
    <row r="31" spans="1:10" x14ac:dyDescent="0.4">
      <c r="A31" s="52">
        <f>고객요구사항도출표!B31</f>
        <v>27</v>
      </c>
      <c r="B31" s="53" t="str">
        <f>IF(고객요구사항도출표!C31="","",고객요구사항도출표!C31)</f>
        <v/>
      </c>
      <c r="C31" s="2">
        <f>KANO질문지!IL55</f>
        <v>0</v>
      </c>
      <c r="D31" s="2">
        <f>KANO질문지!IM55</f>
        <v>0</v>
      </c>
      <c r="E31" s="2">
        <f>KANO질문지!IN55</f>
        <v>0</v>
      </c>
      <c r="F31" s="2">
        <f>KANO질문지!IO55</f>
        <v>0</v>
      </c>
      <c r="G31" s="2">
        <f>KANO질문지!IP55</f>
        <v>0</v>
      </c>
      <c r="H31" s="55">
        <f t="shared" si="0"/>
        <v>0</v>
      </c>
      <c r="I31" s="56" t="e">
        <f t="shared" si="1"/>
        <v>#DIV/0!</v>
      </c>
      <c r="J31" s="57" t="e">
        <f t="shared" si="2"/>
        <v>#DIV/0!</v>
      </c>
    </row>
    <row r="32" spans="1:10" x14ac:dyDescent="0.4">
      <c r="A32" s="52">
        <f>고객요구사항도출표!B32</f>
        <v>28</v>
      </c>
      <c r="B32" s="53" t="str">
        <f>IF(고객요구사항도출표!C32="","",고객요구사항도출표!C32)</f>
        <v/>
      </c>
      <c r="C32" s="2">
        <f>KANO질문지!IL57</f>
        <v>0</v>
      </c>
      <c r="D32" s="2">
        <f>KANO질문지!IM57</f>
        <v>0</v>
      </c>
      <c r="E32" s="2">
        <f>KANO질문지!IN57</f>
        <v>0</v>
      </c>
      <c r="F32" s="2">
        <f>KANO질문지!IO57</f>
        <v>0</v>
      </c>
      <c r="G32" s="2">
        <f>KANO질문지!IP57</f>
        <v>0</v>
      </c>
      <c r="H32" s="55">
        <f t="shared" si="0"/>
        <v>0</v>
      </c>
      <c r="I32" s="56" t="e">
        <f t="shared" si="1"/>
        <v>#DIV/0!</v>
      </c>
      <c r="J32" s="57" t="e">
        <f t="shared" si="2"/>
        <v>#DIV/0!</v>
      </c>
    </row>
    <row r="33" spans="1:10" x14ac:dyDescent="0.4">
      <c r="A33" s="52">
        <f>고객요구사항도출표!B33</f>
        <v>29</v>
      </c>
      <c r="B33" s="53" t="str">
        <f>IF(고객요구사항도출표!C33="","",고객요구사항도출표!C33)</f>
        <v/>
      </c>
      <c r="C33" s="2">
        <f>KANO질문지!IL59</f>
        <v>0</v>
      </c>
      <c r="D33" s="2">
        <f>KANO질문지!IM59</f>
        <v>0</v>
      </c>
      <c r="E33" s="2">
        <f>KANO질문지!IN59</f>
        <v>0</v>
      </c>
      <c r="F33" s="2">
        <f>KANO질문지!IO59</f>
        <v>0</v>
      </c>
      <c r="G33" s="2">
        <f>KANO질문지!IP59</f>
        <v>0</v>
      </c>
      <c r="H33" s="55">
        <f t="shared" si="0"/>
        <v>0</v>
      </c>
      <c r="I33" s="56" t="e">
        <f t="shared" si="1"/>
        <v>#DIV/0!</v>
      </c>
      <c r="J33" s="57" t="e">
        <f t="shared" si="2"/>
        <v>#DIV/0!</v>
      </c>
    </row>
    <row r="34" spans="1:10" x14ac:dyDescent="0.4">
      <c r="A34" s="52">
        <f>고객요구사항도출표!B34</f>
        <v>30</v>
      </c>
      <c r="B34" s="53" t="str">
        <f>IF(고객요구사항도출표!C34="","",고객요구사항도출표!C34)</f>
        <v/>
      </c>
      <c r="C34" s="2">
        <f>KANO질문지!IL61</f>
        <v>0</v>
      </c>
      <c r="D34" s="2">
        <f>KANO질문지!IM61</f>
        <v>0</v>
      </c>
      <c r="E34" s="2">
        <f>KANO질문지!IN61</f>
        <v>0</v>
      </c>
      <c r="F34" s="2">
        <f>KANO질문지!IO61</f>
        <v>0</v>
      </c>
      <c r="G34" s="2">
        <f>KANO질문지!IP61</f>
        <v>0</v>
      </c>
      <c r="H34" s="55">
        <f t="shared" si="0"/>
        <v>0</v>
      </c>
      <c r="I34" s="56" t="e">
        <f t="shared" si="1"/>
        <v>#DIV/0!</v>
      </c>
      <c r="J34" s="57" t="e">
        <f t="shared" si="2"/>
        <v>#DIV/0!</v>
      </c>
    </row>
    <row r="35" spans="1:10" x14ac:dyDescent="0.4">
      <c r="A35" s="52">
        <f>고객요구사항도출표!B35</f>
        <v>31</v>
      </c>
      <c r="B35" s="53" t="str">
        <f>IF(고객요구사항도출표!C35="","",고객요구사항도출표!C35)</f>
        <v/>
      </c>
      <c r="C35" s="2">
        <f>KANO질문지!IL63</f>
        <v>0</v>
      </c>
      <c r="D35" s="2">
        <f>KANO질문지!IM63</f>
        <v>0</v>
      </c>
      <c r="E35" s="2">
        <f>KANO질문지!IN63</f>
        <v>0</v>
      </c>
      <c r="F35" s="2">
        <f>KANO질문지!IO63</f>
        <v>0</v>
      </c>
      <c r="G35" s="2">
        <f>KANO질문지!IP63</f>
        <v>0</v>
      </c>
      <c r="H35" s="55">
        <f t="shared" si="0"/>
        <v>0</v>
      </c>
      <c r="I35" s="56" t="e">
        <f t="shared" si="1"/>
        <v>#DIV/0!</v>
      </c>
      <c r="J35" s="57" t="e">
        <f t="shared" si="2"/>
        <v>#DIV/0!</v>
      </c>
    </row>
    <row r="36" spans="1:10" x14ac:dyDescent="0.4">
      <c r="A36" s="52">
        <f>고객요구사항도출표!B36</f>
        <v>32</v>
      </c>
      <c r="B36" s="53" t="str">
        <f>IF(고객요구사항도출표!C36="","",고객요구사항도출표!C36)</f>
        <v/>
      </c>
      <c r="C36" s="2">
        <f>KANO질문지!IL65</f>
        <v>0</v>
      </c>
      <c r="D36" s="2">
        <f>KANO질문지!IM65</f>
        <v>0</v>
      </c>
      <c r="E36" s="2">
        <f>KANO질문지!IN65</f>
        <v>0</v>
      </c>
      <c r="F36" s="2">
        <f>KANO질문지!IO65</f>
        <v>0</v>
      </c>
      <c r="G36" s="2">
        <f>KANO질문지!IP65</f>
        <v>0</v>
      </c>
      <c r="H36" s="55">
        <f t="shared" si="0"/>
        <v>0</v>
      </c>
      <c r="I36" s="56" t="e">
        <f t="shared" si="1"/>
        <v>#DIV/0!</v>
      </c>
      <c r="J36" s="57" t="e">
        <f t="shared" si="2"/>
        <v>#DIV/0!</v>
      </c>
    </row>
    <row r="37" spans="1:10" x14ac:dyDescent="0.4">
      <c r="A37" s="52">
        <f>고객요구사항도출표!B37</f>
        <v>33</v>
      </c>
      <c r="B37" s="53" t="str">
        <f>IF(고객요구사항도출표!C37="","",고객요구사항도출표!C37)</f>
        <v/>
      </c>
      <c r="C37" s="2">
        <f>KANO질문지!IL67</f>
        <v>0</v>
      </c>
      <c r="D37" s="2">
        <f>KANO질문지!IM67</f>
        <v>0</v>
      </c>
      <c r="E37" s="2">
        <f>KANO질문지!IN67</f>
        <v>0</v>
      </c>
      <c r="F37" s="2">
        <f>KANO질문지!IO67</f>
        <v>0</v>
      </c>
      <c r="G37" s="2">
        <f>KANO질문지!IP67</f>
        <v>0</v>
      </c>
      <c r="H37" s="55">
        <f t="shared" si="0"/>
        <v>0</v>
      </c>
      <c r="I37" s="56" t="e">
        <f t="shared" si="1"/>
        <v>#DIV/0!</v>
      </c>
      <c r="J37" s="57" t="e">
        <f t="shared" si="2"/>
        <v>#DIV/0!</v>
      </c>
    </row>
    <row r="38" spans="1:10" x14ac:dyDescent="0.4">
      <c r="A38" s="52">
        <f>고객요구사항도출표!B38</f>
        <v>34</v>
      </c>
      <c r="B38" s="53" t="str">
        <f>IF(고객요구사항도출표!C38="","",고객요구사항도출표!C38)</f>
        <v/>
      </c>
      <c r="C38" s="2">
        <f>KANO질문지!IL69</f>
        <v>0</v>
      </c>
      <c r="D38" s="2">
        <f>KANO질문지!IM69</f>
        <v>0</v>
      </c>
      <c r="E38" s="2">
        <f>KANO질문지!IN69</f>
        <v>0</v>
      </c>
      <c r="F38" s="2">
        <f>KANO질문지!IO69</f>
        <v>0</v>
      </c>
      <c r="G38" s="2">
        <f>KANO질문지!IP69</f>
        <v>0</v>
      </c>
      <c r="H38" s="55">
        <f t="shared" si="0"/>
        <v>0</v>
      </c>
      <c r="I38" s="56" t="e">
        <f t="shared" si="1"/>
        <v>#DIV/0!</v>
      </c>
      <c r="J38" s="57" t="e">
        <f t="shared" si="2"/>
        <v>#DIV/0!</v>
      </c>
    </row>
    <row r="39" spans="1:10" x14ac:dyDescent="0.4">
      <c r="A39" s="52">
        <f>고객요구사항도출표!B39</f>
        <v>35</v>
      </c>
      <c r="B39" s="53" t="str">
        <f>IF(고객요구사항도출표!C39="","",고객요구사항도출표!C39)</f>
        <v/>
      </c>
      <c r="C39" s="2">
        <f>KANO질문지!IL71</f>
        <v>0</v>
      </c>
      <c r="D39" s="2">
        <f>KANO질문지!IM71</f>
        <v>0</v>
      </c>
      <c r="E39" s="2">
        <f>KANO질문지!IN71</f>
        <v>0</v>
      </c>
      <c r="F39" s="2">
        <f>KANO질문지!IO71</f>
        <v>0</v>
      </c>
      <c r="G39" s="2">
        <f>KANO질문지!IP71</f>
        <v>0</v>
      </c>
      <c r="H39" s="55">
        <f t="shared" si="0"/>
        <v>0</v>
      </c>
      <c r="I39" s="56" t="e">
        <f t="shared" si="1"/>
        <v>#DIV/0!</v>
      </c>
      <c r="J39" s="57" t="e">
        <f t="shared" si="2"/>
        <v>#DIV/0!</v>
      </c>
    </row>
  </sheetData>
  <mergeCells count="1">
    <mergeCell ref="A2:J2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R39"/>
  <sheetViews>
    <sheetView workbookViewId="0">
      <selection activeCell="N25" sqref="N25"/>
    </sheetView>
  </sheetViews>
  <sheetFormatPr defaultRowHeight="14.4" x14ac:dyDescent="0.25"/>
  <cols>
    <col min="1" max="2" width="3.19921875" style="58" customWidth="1"/>
    <col min="3" max="3" width="31.69921875" style="58" customWidth="1"/>
    <col min="4" max="4" width="9.19921875" style="58" bestFit="1" customWidth="1"/>
    <col min="5" max="5" width="11.09765625" style="58" bestFit="1" customWidth="1"/>
    <col min="6" max="6" width="7.3984375" style="58" customWidth="1"/>
    <col min="7" max="7" width="10.59765625" style="58" customWidth="1"/>
    <col min="8" max="257" width="9" style="58"/>
    <col min="258" max="258" width="3.19921875" style="58" customWidth="1"/>
    <col min="259" max="259" width="31.69921875" style="58" customWidth="1"/>
    <col min="260" max="260" width="9.19921875" style="58" bestFit="1" customWidth="1"/>
    <col min="261" max="261" width="11.09765625" style="58" bestFit="1" customWidth="1"/>
    <col min="262" max="262" width="7.3984375" style="58" customWidth="1"/>
    <col min="263" max="513" width="9" style="58"/>
    <col min="514" max="514" width="3.19921875" style="58" customWidth="1"/>
    <col min="515" max="515" width="31.69921875" style="58" customWidth="1"/>
    <col min="516" max="516" width="9.19921875" style="58" bestFit="1" customWidth="1"/>
    <col min="517" max="517" width="11.09765625" style="58" bestFit="1" customWidth="1"/>
    <col min="518" max="518" width="7.3984375" style="58" customWidth="1"/>
    <col min="519" max="769" width="9" style="58"/>
    <col min="770" max="770" width="3.19921875" style="58" customWidth="1"/>
    <col min="771" max="771" width="31.69921875" style="58" customWidth="1"/>
    <col min="772" max="772" width="9.19921875" style="58" bestFit="1" customWidth="1"/>
    <col min="773" max="773" width="11.09765625" style="58" bestFit="1" customWidth="1"/>
    <col min="774" max="774" width="7.3984375" style="58" customWidth="1"/>
    <col min="775" max="1025" width="9" style="58"/>
    <col min="1026" max="1026" width="3.19921875" style="58" customWidth="1"/>
    <col min="1027" max="1027" width="31.69921875" style="58" customWidth="1"/>
    <col min="1028" max="1028" width="9.19921875" style="58" bestFit="1" customWidth="1"/>
    <col min="1029" max="1029" width="11.09765625" style="58" bestFit="1" customWidth="1"/>
    <col min="1030" max="1030" width="7.3984375" style="58" customWidth="1"/>
    <col min="1031" max="1281" width="9" style="58"/>
    <col min="1282" max="1282" width="3.19921875" style="58" customWidth="1"/>
    <col min="1283" max="1283" width="31.69921875" style="58" customWidth="1"/>
    <col min="1284" max="1284" width="9.19921875" style="58" bestFit="1" customWidth="1"/>
    <col min="1285" max="1285" width="11.09765625" style="58" bestFit="1" customWidth="1"/>
    <col min="1286" max="1286" width="7.3984375" style="58" customWidth="1"/>
    <col min="1287" max="1537" width="9" style="58"/>
    <col min="1538" max="1538" width="3.19921875" style="58" customWidth="1"/>
    <col min="1539" max="1539" width="31.69921875" style="58" customWidth="1"/>
    <col min="1540" max="1540" width="9.19921875" style="58" bestFit="1" customWidth="1"/>
    <col min="1541" max="1541" width="11.09765625" style="58" bestFit="1" customWidth="1"/>
    <col min="1542" max="1542" width="7.3984375" style="58" customWidth="1"/>
    <col min="1543" max="1793" width="9" style="58"/>
    <col min="1794" max="1794" width="3.19921875" style="58" customWidth="1"/>
    <col min="1795" max="1795" width="31.69921875" style="58" customWidth="1"/>
    <col min="1796" max="1796" width="9.19921875" style="58" bestFit="1" customWidth="1"/>
    <col min="1797" max="1797" width="11.09765625" style="58" bestFit="1" customWidth="1"/>
    <col min="1798" max="1798" width="7.3984375" style="58" customWidth="1"/>
    <col min="1799" max="2049" width="9" style="58"/>
    <col min="2050" max="2050" width="3.19921875" style="58" customWidth="1"/>
    <col min="2051" max="2051" width="31.69921875" style="58" customWidth="1"/>
    <col min="2052" max="2052" width="9.19921875" style="58" bestFit="1" customWidth="1"/>
    <col min="2053" max="2053" width="11.09765625" style="58" bestFit="1" customWidth="1"/>
    <col min="2054" max="2054" width="7.3984375" style="58" customWidth="1"/>
    <col min="2055" max="2305" width="9" style="58"/>
    <col min="2306" max="2306" width="3.19921875" style="58" customWidth="1"/>
    <col min="2307" max="2307" width="31.69921875" style="58" customWidth="1"/>
    <col min="2308" max="2308" width="9.19921875" style="58" bestFit="1" customWidth="1"/>
    <col min="2309" max="2309" width="11.09765625" style="58" bestFit="1" customWidth="1"/>
    <col min="2310" max="2310" width="7.3984375" style="58" customWidth="1"/>
    <col min="2311" max="2561" width="9" style="58"/>
    <col min="2562" max="2562" width="3.19921875" style="58" customWidth="1"/>
    <col min="2563" max="2563" width="31.69921875" style="58" customWidth="1"/>
    <col min="2564" max="2564" width="9.19921875" style="58" bestFit="1" customWidth="1"/>
    <col min="2565" max="2565" width="11.09765625" style="58" bestFit="1" customWidth="1"/>
    <col min="2566" max="2566" width="7.3984375" style="58" customWidth="1"/>
    <col min="2567" max="2817" width="9" style="58"/>
    <col min="2818" max="2818" width="3.19921875" style="58" customWidth="1"/>
    <col min="2819" max="2819" width="31.69921875" style="58" customWidth="1"/>
    <col min="2820" max="2820" width="9.19921875" style="58" bestFit="1" customWidth="1"/>
    <col min="2821" max="2821" width="11.09765625" style="58" bestFit="1" customWidth="1"/>
    <col min="2822" max="2822" width="7.3984375" style="58" customWidth="1"/>
    <col min="2823" max="3073" width="9" style="58"/>
    <col min="3074" max="3074" width="3.19921875" style="58" customWidth="1"/>
    <col min="3075" max="3075" width="31.69921875" style="58" customWidth="1"/>
    <col min="3076" max="3076" width="9.19921875" style="58" bestFit="1" customWidth="1"/>
    <col min="3077" max="3077" width="11.09765625" style="58" bestFit="1" customWidth="1"/>
    <col min="3078" max="3078" width="7.3984375" style="58" customWidth="1"/>
    <col min="3079" max="3329" width="9" style="58"/>
    <col min="3330" max="3330" width="3.19921875" style="58" customWidth="1"/>
    <col min="3331" max="3331" width="31.69921875" style="58" customWidth="1"/>
    <col min="3332" max="3332" width="9.19921875" style="58" bestFit="1" customWidth="1"/>
    <col min="3333" max="3333" width="11.09765625" style="58" bestFit="1" customWidth="1"/>
    <col min="3334" max="3334" width="7.3984375" style="58" customWidth="1"/>
    <col min="3335" max="3585" width="9" style="58"/>
    <col min="3586" max="3586" width="3.19921875" style="58" customWidth="1"/>
    <col min="3587" max="3587" width="31.69921875" style="58" customWidth="1"/>
    <col min="3588" max="3588" width="9.19921875" style="58" bestFit="1" customWidth="1"/>
    <col min="3589" max="3589" width="11.09765625" style="58" bestFit="1" customWidth="1"/>
    <col min="3590" max="3590" width="7.3984375" style="58" customWidth="1"/>
    <col min="3591" max="3841" width="9" style="58"/>
    <col min="3842" max="3842" width="3.19921875" style="58" customWidth="1"/>
    <col min="3843" max="3843" width="31.69921875" style="58" customWidth="1"/>
    <col min="3844" max="3844" width="9.19921875" style="58" bestFit="1" customWidth="1"/>
    <col min="3845" max="3845" width="11.09765625" style="58" bestFit="1" customWidth="1"/>
    <col min="3846" max="3846" width="7.3984375" style="58" customWidth="1"/>
    <col min="3847" max="4097" width="9" style="58"/>
    <col min="4098" max="4098" width="3.19921875" style="58" customWidth="1"/>
    <col min="4099" max="4099" width="31.69921875" style="58" customWidth="1"/>
    <col min="4100" max="4100" width="9.19921875" style="58" bestFit="1" customWidth="1"/>
    <col min="4101" max="4101" width="11.09765625" style="58" bestFit="1" customWidth="1"/>
    <col min="4102" max="4102" width="7.3984375" style="58" customWidth="1"/>
    <col min="4103" max="4353" width="9" style="58"/>
    <col min="4354" max="4354" width="3.19921875" style="58" customWidth="1"/>
    <col min="4355" max="4355" width="31.69921875" style="58" customWidth="1"/>
    <col min="4356" max="4356" width="9.19921875" style="58" bestFit="1" customWidth="1"/>
    <col min="4357" max="4357" width="11.09765625" style="58" bestFit="1" customWidth="1"/>
    <col min="4358" max="4358" width="7.3984375" style="58" customWidth="1"/>
    <col min="4359" max="4609" width="9" style="58"/>
    <col min="4610" max="4610" width="3.19921875" style="58" customWidth="1"/>
    <col min="4611" max="4611" width="31.69921875" style="58" customWidth="1"/>
    <col min="4612" max="4612" width="9.19921875" style="58" bestFit="1" customWidth="1"/>
    <col min="4613" max="4613" width="11.09765625" style="58" bestFit="1" customWidth="1"/>
    <col min="4614" max="4614" width="7.3984375" style="58" customWidth="1"/>
    <col min="4615" max="4865" width="9" style="58"/>
    <col min="4866" max="4866" width="3.19921875" style="58" customWidth="1"/>
    <col min="4867" max="4867" width="31.69921875" style="58" customWidth="1"/>
    <col min="4868" max="4868" width="9.19921875" style="58" bestFit="1" customWidth="1"/>
    <col min="4869" max="4869" width="11.09765625" style="58" bestFit="1" customWidth="1"/>
    <col min="4870" max="4870" width="7.3984375" style="58" customWidth="1"/>
    <col min="4871" max="5121" width="9" style="58"/>
    <col min="5122" max="5122" width="3.19921875" style="58" customWidth="1"/>
    <col min="5123" max="5123" width="31.69921875" style="58" customWidth="1"/>
    <col min="5124" max="5124" width="9.19921875" style="58" bestFit="1" customWidth="1"/>
    <col min="5125" max="5125" width="11.09765625" style="58" bestFit="1" customWidth="1"/>
    <col min="5126" max="5126" width="7.3984375" style="58" customWidth="1"/>
    <col min="5127" max="5377" width="9" style="58"/>
    <col min="5378" max="5378" width="3.19921875" style="58" customWidth="1"/>
    <col min="5379" max="5379" width="31.69921875" style="58" customWidth="1"/>
    <col min="5380" max="5380" width="9.19921875" style="58" bestFit="1" customWidth="1"/>
    <col min="5381" max="5381" width="11.09765625" style="58" bestFit="1" customWidth="1"/>
    <col min="5382" max="5382" width="7.3984375" style="58" customWidth="1"/>
    <col min="5383" max="5633" width="9" style="58"/>
    <col min="5634" max="5634" width="3.19921875" style="58" customWidth="1"/>
    <col min="5635" max="5635" width="31.69921875" style="58" customWidth="1"/>
    <col min="5636" max="5636" width="9.19921875" style="58" bestFit="1" customWidth="1"/>
    <col min="5637" max="5637" width="11.09765625" style="58" bestFit="1" customWidth="1"/>
    <col min="5638" max="5638" width="7.3984375" style="58" customWidth="1"/>
    <col min="5639" max="5889" width="9" style="58"/>
    <col min="5890" max="5890" width="3.19921875" style="58" customWidth="1"/>
    <col min="5891" max="5891" width="31.69921875" style="58" customWidth="1"/>
    <col min="5892" max="5892" width="9.19921875" style="58" bestFit="1" customWidth="1"/>
    <col min="5893" max="5893" width="11.09765625" style="58" bestFit="1" customWidth="1"/>
    <col min="5894" max="5894" width="7.3984375" style="58" customWidth="1"/>
    <col min="5895" max="6145" width="9" style="58"/>
    <col min="6146" max="6146" width="3.19921875" style="58" customWidth="1"/>
    <col min="6147" max="6147" width="31.69921875" style="58" customWidth="1"/>
    <col min="6148" max="6148" width="9.19921875" style="58" bestFit="1" customWidth="1"/>
    <col min="6149" max="6149" width="11.09765625" style="58" bestFit="1" customWidth="1"/>
    <col min="6150" max="6150" width="7.3984375" style="58" customWidth="1"/>
    <col min="6151" max="6401" width="9" style="58"/>
    <col min="6402" max="6402" width="3.19921875" style="58" customWidth="1"/>
    <col min="6403" max="6403" width="31.69921875" style="58" customWidth="1"/>
    <col min="6404" max="6404" width="9.19921875" style="58" bestFit="1" customWidth="1"/>
    <col min="6405" max="6405" width="11.09765625" style="58" bestFit="1" customWidth="1"/>
    <col min="6406" max="6406" width="7.3984375" style="58" customWidth="1"/>
    <col min="6407" max="6657" width="9" style="58"/>
    <col min="6658" max="6658" width="3.19921875" style="58" customWidth="1"/>
    <col min="6659" max="6659" width="31.69921875" style="58" customWidth="1"/>
    <col min="6660" max="6660" width="9.19921875" style="58" bestFit="1" customWidth="1"/>
    <col min="6661" max="6661" width="11.09765625" style="58" bestFit="1" customWidth="1"/>
    <col min="6662" max="6662" width="7.3984375" style="58" customWidth="1"/>
    <col min="6663" max="6913" width="9" style="58"/>
    <col min="6914" max="6914" width="3.19921875" style="58" customWidth="1"/>
    <col min="6915" max="6915" width="31.69921875" style="58" customWidth="1"/>
    <col min="6916" max="6916" width="9.19921875" style="58" bestFit="1" customWidth="1"/>
    <col min="6917" max="6917" width="11.09765625" style="58" bestFit="1" customWidth="1"/>
    <col min="6918" max="6918" width="7.3984375" style="58" customWidth="1"/>
    <col min="6919" max="7169" width="9" style="58"/>
    <col min="7170" max="7170" width="3.19921875" style="58" customWidth="1"/>
    <col min="7171" max="7171" width="31.69921875" style="58" customWidth="1"/>
    <col min="7172" max="7172" width="9.19921875" style="58" bestFit="1" customWidth="1"/>
    <col min="7173" max="7173" width="11.09765625" style="58" bestFit="1" customWidth="1"/>
    <col min="7174" max="7174" width="7.3984375" style="58" customWidth="1"/>
    <col min="7175" max="7425" width="9" style="58"/>
    <col min="7426" max="7426" width="3.19921875" style="58" customWidth="1"/>
    <col min="7427" max="7427" width="31.69921875" style="58" customWidth="1"/>
    <col min="7428" max="7428" width="9.19921875" style="58" bestFit="1" customWidth="1"/>
    <col min="7429" max="7429" width="11.09765625" style="58" bestFit="1" customWidth="1"/>
    <col min="7430" max="7430" width="7.3984375" style="58" customWidth="1"/>
    <col min="7431" max="7681" width="9" style="58"/>
    <col min="7682" max="7682" width="3.19921875" style="58" customWidth="1"/>
    <col min="7683" max="7683" width="31.69921875" style="58" customWidth="1"/>
    <col min="7684" max="7684" width="9.19921875" style="58" bestFit="1" customWidth="1"/>
    <col min="7685" max="7685" width="11.09765625" style="58" bestFit="1" customWidth="1"/>
    <col min="7686" max="7686" width="7.3984375" style="58" customWidth="1"/>
    <col min="7687" max="7937" width="9" style="58"/>
    <col min="7938" max="7938" width="3.19921875" style="58" customWidth="1"/>
    <col min="7939" max="7939" width="31.69921875" style="58" customWidth="1"/>
    <col min="7940" max="7940" width="9.19921875" style="58" bestFit="1" customWidth="1"/>
    <col min="7941" max="7941" width="11.09765625" style="58" bestFit="1" customWidth="1"/>
    <col min="7942" max="7942" width="7.3984375" style="58" customWidth="1"/>
    <col min="7943" max="8193" width="9" style="58"/>
    <col min="8194" max="8194" width="3.19921875" style="58" customWidth="1"/>
    <col min="8195" max="8195" width="31.69921875" style="58" customWidth="1"/>
    <col min="8196" max="8196" width="9.19921875" style="58" bestFit="1" customWidth="1"/>
    <col min="8197" max="8197" width="11.09765625" style="58" bestFit="1" customWidth="1"/>
    <col min="8198" max="8198" width="7.3984375" style="58" customWidth="1"/>
    <col min="8199" max="8449" width="9" style="58"/>
    <col min="8450" max="8450" width="3.19921875" style="58" customWidth="1"/>
    <col min="8451" max="8451" width="31.69921875" style="58" customWidth="1"/>
    <col min="8452" max="8452" width="9.19921875" style="58" bestFit="1" customWidth="1"/>
    <col min="8453" max="8453" width="11.09765625" style="58" bestFit="1" customWidth="1"/>
    <col min="8454" max="8454" width="7.3984375" style="58" customWidth="1"/>
    <col min="8455" max="8705" width="9" style="58"/>
    <col min="8706" max="8706" width="3.19921875" style="58" customWidth="1"/>
    <col min="8707" max="8707" width="31.69921875" style="58" customWidth="1"/>
    <col min="8708" max="8708" width="9.19921875" style="58" bestFit="1" customWidth="1"/>
    <col min="8709" max="8709" width="11.09765625" style="58" bestFit="1" customWidth="1"/>
    <col min="8710" max="8710" width="7.3984375" style="58" customWidth="1"/>
    <col min="8711" max="8961" width="9" style="58"/>
    <col min="8962" max="8962" width="3.19921875" style="58" customWidth="1"/>
    <col min="8963" max="8963" width="31.69921875" style="58" customWidth="1"/>
    <col min="8964" max="8964" width="9.19921875" style="58" bestFit="1" customWidth="1"/>
    <col min="8965" max="8965" width="11.09765625" style="58" bestFit="1" customWidth="1"/>
    <col min="8966" max="8966" width="7.3984375" style="58" customWidth="1"/>
    <col min="8967" max="9217" width="9" style="58"/>
    <col min="9218" max="9218" width="3.19921875" style="58" customWidth="1"/>
    <col min="9219" max="9219" width="31.69921875" style="58" customWidth="1"/>
    <col min="9220" max="9220" width="9.19921875" style="58" bestFit="1" customWidth="1"/>
    <col min="9221" max="9221" width="11.09765625" style="58" bestFit="1" customWidth="1"/>
    <col min="9222" max="9222" width="7.3984375" style="58" customWidth="1"/>
    <col min="9223" max="9473" width="9" style="58"/>
    <col min="9474" max="9474" width="3.19921875" style="58" customWidth="1"/>
    <col min="9475" max="9475" width="31.69921875" style="58" customWidth="1"/>
    <col min="9476" max="9476" width="9.19921875" style="58" bestFit="1" customWidth="1"/>
    <col min="9477" max="9477" width="11.09765625" style="58" bestFit="1" customWidth="1"/>
    <col min="9478" max="9478" width="7.3984375" style="58" customWidth="1"/>
    <col min="9479" max="9729" width="9" style="58"/>
    <col min="9730" max="9730" width="3.19921875" style="58" customWidth="1"/>
    <col min="9731" max="9731" width="31.69921875" style="58" customWidth="1"/>
    <col min="9732" max="9732" width="9.19921875" style="58" bestFit="1" customWidth="1"/>
    <col min="9733" max="9733" width="11.09765625" style="58" bestFit="1" customWidth="1"/>
    <col min="9734" max="9734" width="7.3984375" style="58" customWidth="1"/>
    <col min="9735" max="9985" width="9" style="58"/>
    <col min="9986" max="9986" width="3.19921875" style="58" customWidth="1"/>
    <col min="9987" max="9987" width="31.69921875" style="58" customWidth="1"/>
    <col min="9988" max="9988" width="9.19921875" style="58" bestFit="1" customWidth="1"/>
    <col min="9989" max="9989" width="11.09765625" style="58" bestFit="1" customWidth="1"/>
    <col min="9990" max="9990" width="7.3984375" style="58" customWidth="1"/>
    <col min="9991" max="10241" width="9" style="58"/>
    <col min="10242" max="10242" width="3.19921875" style="58" customWidth="1"/>
    <col min="10243" max="10243" width="31.69921875" style="58" customWidth="1"/>
    <col min="10244" max="10244" width="9.19921875" style="58" bestFit="1" customWidth="1"/>
    <col min="10245" max="10245" width="11.09765625" style="58" bestFit="1" customWidth="1"/>
    <col min="10246" max="10246" width="7.3984375" style="58" customWidth="1"/>
    <col min="10247" max="10497" width="9" style="58"/>
    <col min="10498" max="10498" width="3.19921875" style="58" customWidth="1"/>
    <col min="10499" max="10499" width="31.69921875" style="58" customWidth="1"/>
    <col min="10500" max="10500" width="9.19921875" style="58" bestFit="1" customWidth="1"/>
    <col min="10501" max="10501" width="11.09765625" style="58" bestFit="1" customWidth="1"/>
    <col min="10502" max="10502" width="7.3984375" style="58" customWidth="1"/>
    <col min="10503" max="10753" width="9" style="58"/>
    <col min="10754" max="10754" width="3.19921875" style="58" customWidth="1"/>
    <col min="10755" max="10755" width="31.69921875" style="58" customWidth="1"/>
    <col min="10756" max="10756" width="9.19921875" style="58" bestFit="1" customWidth="1"/>
    <col min="10757" max="10757" width="11.09765625" style="58" bestFit="1" customWidth="1"/>
    <col min="10758" max="10758" width="7.3984375" style="58" customWidth="1"/>
    <col min="10759" max="11009" width="9" style="58"/>
    <col min="11010" max="11010" width="3.19921875" style="58" customWidth="1"/>
    <col min="11011" max="11011" width="31.69921875" style="58" customWidth="1"/>
    <col min="11012" max="11012" width="9.19921875" style="58" bestFit="1" customWidth="1"/>
    <col min="11013" max="11013" width="11.09765625" style="58" bestFit="1" customWidth="1"/>
    <col min="11014" max="11014" width="7.3984375" style="58" customWidth="1"/>
    <col min="11015" max="11265" width="9" style="58"/>
    <col min="11266" max="11266" width="3.19921875" style="58" customWidth="1"/>
    <col min="11267" max="11267" width="31.69921875" style="58" customWidth="1"/>
    <col min="11268" max="11268" width="9.19921875" style="58" bestFit="1" customWidth="1"/>
    <col min="11269" max="11269" width="11.09765625" style="58" bestFit="1" customWidth="1"/>
    <col min="11270" max="11270" width="7.3984375" style="58" customWidth="1"/>
    <col min="11271" max="11521" width="9" style="58"/>
    <col min="11522" max="11522" width="3.19921875" style="58" customWidth="1"/>
    <col min="11523" max="11523" width="31.69921875" style="58" customWidth="1"/>
    <col min="11524" max="11524" width="9.19921875" style="58" bestFit="1" customWidth="1"/>
    <col min="11525" max="11525" width="11.09765625" style="58" bestFit="1" customWidth="1"/>
    <col min="11526" max="11526" width="7.3984375" style="58" customWidth="1"/>
    <col min="11527" max="11777" width="9" style="58"/>
    <col min="11778" max="11778" width="3.19921875" style="58" customWidth="1"/>
    <col min="11779" max="11779" width="31.69921875" style="58" customWidth="1"/>
    <col min="11780" max="11780" width="9.19921875" style="58" bestFit="1" customWidth="1"/>
    <col min="11781" max="11781" width="11.09765625" style="58" bestFit="1" customWidth="1"/>
    <col min="11782" max="11782" width="7.3984375" style="58" customWidth="1"/>
    <col min="11783" max="12033" width="9" style="58"/>
    <col min="12034" max="12034" width="3.19921875" style="58" customWidth="1"/>
    <col min="12035" max="12035" width="31.69921875" style="58" customWidth="1"/>
    <col min="12036" max="12036" width="9.19921875" style="58" bestFit="1" customWidth="1"/>
    <col min="12037" max="12037" width="11.09765625" style="58" bestFit="1" customWidth="1"/>
    <col min="12038" max="12038" width="7.3984375" style="58" customWidth="1"/>
    <col min="12039" max="12289" width="9" style="58"/>
    <col min="12290" max="12290" width="3.19921875" style="58" customWidth="1"/>
    <col min="12291" max="12291" width="31.69921875" style="58" customWidth="1"/>
    <col min="12292" max="12292" width="9.19921875" style="58" bestFit="1" customWidth="1"/>
    <col min="12293" max="12293" width="11.09765625" style="58" bestFit="1" customWidth="1"/>
    <col min="12294" max="12294" width="7.3984375" style="58" customWidth="1"/>
    <col min="12295" max="12545" width="9" style="58"/>
    <col min="12546" max="12546" width="3.19921875" style="58" customWidth="1"/>
    <col min="12547" max="12547" width="31.69921875" style="58" customWidth="1"/>
    <col min="12548" max="12548" width="9.19921875" style="58" bestFit="1" customWidth="1"/>
    <col min="12549" max="12549" width="11.09765625" style="58" bestFit="1" customWidth="1"/>
    <col min="12550" max="12550" width="7.3984375" style="58" customWidth="1"/>
    <col min="12551" max="12801" width="9" style="58"/>
    <col min="12802" max="12802" width="3.19921875" style="58" customWidth="1"/>
    <col min="12803" max="12803" width="31.69921875" style="58" customWidth="1"/>
    <col min="12804" max="12804" width="9.19921875" style="58" bestFit="1" customWidth="1"/>
    <col min="12805" max="12805" width="11.09765625" style="58" bestFit="1" customWidth="1"/>
    <col min="12806" max="12806" width="7.3984375" style="58" customWidth="1"/>
    <col min="12807" max="13057" width="9" style="58"/>
    <col min="13058" max="13058" width="3.19921875" style="58" customWidth="1"/>
    <col min="13059" max="13059" width="31.69921875" style="58" customWidth="1"/>
    <col min="13060" max="13060" width="9.19921875" style="58" bestFit="1" customWidth="1"/>
    <col min="13061" max="13061" width="11.09765625" style="58" bestFit="1" customWidth="1"/>
    <col min="13062" max="13062" width="7.3984375" style="58" customWidth="1"/>
    <col min="13063" max="13313" width="9" style="58"/>
    <col min="13314" max="13314" width="3.19921875" style="58" customWidth="1"/>
    <col min="13315" max="13315" width="31.69921875" style="58" customWidth="1"/>
    <col min="13316" max="13316" width="9.19921875" style="58" bestFit="1" customWidth="1"/>
    <col min="13317" max="13317" width="11.09765625" style="58" bestFit="1" customWidth="1"/>
    <col min="13318" max="13318" width="7.3984375" style="58" customWidth="1"/>
    <col min="13319" max="13569" width="9" style="58"/>
    <col min="13570" max="13570" width="3.19921875" style="58" customWidth="1"/>
    <col min="13571" max="13571" width="31.69921875" style="58" customWidth="1"/>
    <col min="13572" max="13572" width="9.19921875" style="58" bestFit="1" customWidth="1"/>
    <col min="13573" max="13573" width="11.09765625" style="58" bestFit="1" customWidth="1"/>
    <col min="13574" max="13574" width="7.3984375" style="58" customWidth="1"/>
    <col min="13575" max="13825" width="9" style="58"/>
    <col min="13826" max="13826" width="3.19921875" style="58" customWidth="1"/>
    <col min="13827" max="13827" width="31.69921875" style="58" customWidth="1"/>
    <col min="13828" max="13828" width="9.19921875" style="58" bestFit="1" customWidth="1"/>
    <col min="13829" max="13829" width="11.09765625" style="58" bestFit="1" customWidth="1"/>
    <col min="13830" max="13830" width="7.3984375" style="58" customWidth="1"/>
    <col min="13831" max="14081" width="9" style="58"/>
    <col min="14082" max="14082" width="3.19921875" style="58" customWidth="1"/>
    <col min="14083" max="14083" width="31.69921875" style="58" customWidth="1"/>
    <col min="14084" max="14084" width="9.19921875" style="58" bestFit="1" customWidth="1"/>
    <col min="14085" max="14085" width="11.09765625" style="58" bestFit="1" customWidth="1"/>
    <col min="14086" max="14086" width="7.3984375" style="58" customWidth="1"/>
    <col min="14087" max="14337" width="9" style="58"/>
    <col min="14338" max="14338" width="3.19921875" style="58" customWidth="1"/>
    <col min="14339" max="14339" width="31.69921875" style="58" customWidth="1"/>
    <col min="14340" max="14340" width="9.19921875" style="58" bestFit="1" customWidth="1"/>
    <col min="14341" max="14341" width="11.09765625" style="58" bestFit="1" customWidth="1"/>
    <col min="14342" max="14342" width="7.3984375" style="58" customWidth="1"/>
    <col min="14343" max="14593" width="9" style="58"/>
    <col min="14594" max="14594" width="3.19921875" style="58" customWidth="1"/>
    <col min="14595" max="14595" width="31.69921875" style="58" customWidth="1"/>
    <col min="14596" max="14596" width="9.19921875" style="58" bestFit="1" customWidth="1"/>
    <col min="14597" max="14597" width="11.09765625" style="58" bestFit="1" customWidth="1"/>
    <col min="14598" max="14598" width="7.3984375" style="58" customWidth="1"/>
    <col min="14599" max="14849" width="9" style="58"/>
    <col min="14850" max="14850" width="3.19921875" style="58" customWidth="1"/>
    <col min="14851" max="14851" width="31.69921875" style="58" customWidth="1"/>
    <col min="14852" max="14852" width="9.19921875" style="58" bestFit="1" customWidth="1"/>
    <col min="14853" max="14853" width="11.09765625" style="58" bestFit="1" customWidth="1"/>
    <col min="14854" max="14854" width="7.3984375" style="58" customWidth="1"/>
    <col min="14855" max="15105" width="9" style="58"/>
    <col min="15106" max="15106" width="3.19921875" style="58" customWidth="1"/>
    <col min="15107" max="15107" width="31.69921875" style="58" customWidth="1"/>
    <col min="15108" max="15108" width="9.19921875" style="58" bestFit="1" customWidth="1"/>
    <col min="15109" max="15109" width="11.09765625" style="58" bestFit="1" customWidth="1"/>
    <col min="15110" max="15110" width="7.3984375" style="58" customWidth="1"/>
    <col min="15111" max="15361" width="9" style="58"/>
    <col min="15362" max="15362" width="3.19921875" style="58" customWidth="1"/>
    <col min="15363" max="15363" width="31.69921875" style="58" customWidth="1"/>
    <col min="15364" max="15364" width="9.19921875" style="58" bestFit="1" customWidth="1"/>
    <col min="15365" max="15365" width="11.09765625" style="58" bestFit="1" customWidth="1"/>
    <col min="15366" max="15366" width="7.3984375" style="58" customWidth="1"/>
    <col min="15367" max="15617" width="9" style="58"/>
    <col min="15618" max="15618" width="3.19921875" style="58" customWidth="1"/>
    <col min="15619" max="15619" width="31.69921875" style="58" customWidth="1"/>
    <col min="15620" max="15620" width="9.19921875" style="58" bestFit="1" customWidth="1"/>
    <col min="15621" max="15621" width="11.09765625" style="58" bestFit="1" customWidth="1"/>
    <col min="15622" max="15622" width="7.3984375" style="58" customWidth="1"/>
    <col min="15623" max="15873" width="9" style="58"/>
    <col min="15874" max="15874" width="3.19921875" style="58" customWidth="1"/>
    <col min="15875" max="15875" width="31.69921875" style="58" customWidth="1"/>
    <col min="15876" max="15876" width="9.19921875" style="58" bestFit="1" customWidth="1"/>
    <col min="15877" max="15877" width="11.09765625" style="58" bestFit="1" customWidth="1"/>
    <col min="15878" max="15878" width="7.3984375" style="58" customWidth="1"/>
    <col min="15879" max="16129" width="9" style="58"/>
    <col min="16130" max="16130" width="3.19921875" style="58" customWidth="1"/>
    <col min="16131" max="16131" width="31.69921875" style="58" customWidth="1"/>
    <col min="16132" max="16132" width="9.19921875" style="58" bestFit="1" customWidth="1"/>
    <col min="16133" max="16133" width="11.09765625" style="58" bestFit="1" customWidth="1"/>
    <col min="16134" max="16134" width="7.3984375" style="58" customWidth="1"/>
    <col min="16135" max="16384" width="9" style="58"/>
  </cols>
  <sheetData>
    <row r="2" spans="2:18" ht="18" customHeight="1" x14ac:dyDescent="0.25">
      <c r="B2" s="280" t="s">
        <v>88</v>
      </c>
      <c r="C2" s="281"/>
      <c r="D2" s="281"/>
      <c r="E2" s="281"/>
      <c r="F2" s="281"/>
      <c r="G2" s="281"/>
      <c r="H2" s="281"/>
      <c r="I2" s="281"/>
      <c r="J2" s="281"/>
      <c r="K2" s="281"/>
      <c r="L2" s="281"/>
      <c r="M2" s="281"/>
      <c r="N2" s="281"/>
      <c r="O2" s="281"/>
      <c r="P2" s="281"/>
      <c r="Q2" s="281"/>
      <c r="R2" s="281"/>
    </row>
    <row r="3" spans="2:18" ht="15" thickBot="1" x14ac:dyDescent="0.3"/>
    <row r="4" spans="2:18" ht="16.2" thickBot="1" x14ac:dyDescent="0.4">
      <c r="B4" s="59"/>
      <c r="C4" s="59"/>
      <c r="D4" s="60" t="s">
        <v>89</v>
      </c>
      <c r="E4" s="61" t="s">
        <v>90</v>
      </c>
      <c r="F4" s="62" t="s">
        <v>91</v>
      </c>
      <c r="G4" s="63" t="s">
        <v>92</v>
      </c>
    </row>
    <row r="5" spans="2:18" ht="15.6" x14ac:dyDescent="0.35">
      <c r="B5" s="64">
        <f>고객요구사항도출표!B5</f>
        <v>1</v>
      </c>
      <c r="C5" s="65" t="str">
        <f>IF(고객요구사항도출표!C5="","",고객요구사항도출표!C5)</f>
        <v/>
      </c>
      <c r="D5" s="66" t="e">
        <f>'kano분석 집계표'!I5</f>
        <v>#DIV/0!</v>
      </c>
      <c r="E5" s="67" t="e">
        <f>'kano분석 집계표'!J5</f>
        <v>#DIV/0!</v>
      </c>
      <c r="F5" s="63" t="e">
        <f t="shared" ref="F5:F39" si="0">IF(AND(D5&lt;=0.5, ABS(E5)&lt;=0.5),2,IF(AND(D5&gt;=0.5,ABS(E5)&lt;=0.5),5,IF(AND(D5&lt;=0.5,ABS(E5)&gt;=0.5),3,4)))</f>
        <v>#DIV/0!</v>
      </c>
      <c r="G5" s="238">
        <f>TIMKO!S3</f>
        <v>0</v>
      </c>
    </row>
    <row r="6" spans="2:18" ht="15.6" x14ac:dyDescent="0.35">
      <c r="B6" s="64">
        <f>고객요구사항도출표!B6</f>
        <v>2</v>
      </c>
      <c r="C6" s="65" t="str">
        <f>IF(고객요구사항도출표!C6="","",고객요구사항도출표!C6)</f>
        <v/>
      </c>
      <c r="D6" s="66" t="e">
        <f>'kano분석 집계표'!I6</f>
        <v>#DIV/0!</v>
      </c>
      <c r="E6" s="67" t="e">
        <f>'kano분석 집계표'!J6</f>
        <v>#DIV/0!</v>
      </c>
      <c r="F6" s="63" t="e">
        <f t="shared" si="0"/>
        <v>#DIV/0!</v>
      </c>
      <c r="G6" s="238">
        <f>TIMKO!S4</f>
        <v>0</v>
      </c>
    </row>
    <row r="7" spans="2:18" ht="15.6" x14ac:dyDescent="0.35">
      <c r="B7" s="64">
        <f>고객요구사항도출표!B7</f>
        <v>3</v>
      </c>
      <c r="C7" s="65" t="str">
        <f>IF(고객요구사항도출표!C7="","",고객요구사항도출표!C7)</f>
        <v/>
      </c>
      <c r="D7" s="66" t="e">
        <f>'kano분석 집계표'!I7</f>
        <v>#DIV/0!</v>
      </c>
      <c r="E7" s="67" t="e">
        <f>'kano분석 집계표'!J7</f>
        <v>#DIV/0!</v>
      </c>
      <c r="F7" s="63" t="e">
        <f t="shared" si="0"/>
        <v>#DIV/0!</v>
      </c>
      <c r="G7" s="238">
        <f>TIMKO!S5</f>
        <v>0</v>
      </c>
    </row>
    <row r="8" spans="2:18" ht="15.6" x14ac:dyDescent="0.35">
      <c r="B8" s="64">
        <f>고객요구사항도출표!B8</f>
        <v>4</v>
      </c>
      <c r="C8" s="65" t="str">
        <f>IF(고객요구사항도출표!C8="","",고객요구사항도출표!C8)</f>
        <v/>
      </c>
      <c r="D8" s="66" t="e">
        <f>'kano분석 집계표'!I8</f>
        <v>#DIV/0!</v>
      </c>
      <c r="E8" s="67" t="e">
        <f>'kano분석 집계표'!J8</f>
        <v>#DIV/0!</v>
      </c>
      <c r="F8" s="63" t="e">
        <f t="shared" si="0"/>
        <v>#DIV/0!</v>
      </c>
      <c r="G8" s="238">
        <f>TIMKO!S6</f>
        <v>0</v>
      </c>
    </row>
    <row r="9" spans="2:18" ht="15.6" x14ac:dyDescent="0.35">
      <c r="B9" s="64">
        <f>고객요구사항도출표!B9</f>
        <v>5</v>
      </c>
      <c r="C9" s="65" t="str">
        <f>IF(고객요구사항도출표!C9="","",고객요구사항도출표!C9)</f>
        <v/>
      </c>
      <c r="D9" s="66" t="e">
        <f>'kano분석 집계표'!I9</f>
        <v>#DIV/0!</v>
      </c>
      <c r="E9" s="67" t="e">
        <f>'kano분석 집계표'!J9</f>
        <v>#DIV/0!</v>
      </c>
      <c r="F9" s="63" t="e">
        <f t="shared" si="0"/>
        <v>#DIV/0!</v>
      </c>
      <c r="G9" s="238">
        <f>TIMKO!S7</f>
        <v>0</v>
      </c>
    </row>
    <row r="10" spans="2:18" ht="15.6" x14ac:dyDescent="0.35">
      <c r="B10" s="64">
        <f>고객요구사항도출표!B10</f>
        <v>6</v>
      </c>
      <c r="C10" s="65" t="str">
        <f>IF(고객요구사항도출표!C10="","",고객요구사항도출표!C10)</f>
        <v/>
      </c>
      <c r="D10" s="66" t="e">
        <f>'kano분석 집계표'!I10</f>
        <v>#DIV/0!</v>
      </c>
      <c r="E10" s="67" t="e">
        <f>'kano분석 집계표'!J10</f>
        <v>#DIV/0!</v>
      </c>
      <c r="F10" s="63" t="e">
        <f t="shared" si="0"/>
        <v>#DIV/0!</v>
      </c>
      <c r="G10" s="238">
        <f>TIMKO!S8</f>
        <v>0</v>
      </c>
    </row>
    <row r="11" spans="2:18" ht="15.6" x14ac:dyDescent="0.35">
      <c r="B11" s="64">
        <f>고객요구사항도출표!B11</f>
        <v>7</v>
      </c>
      <c r="C11" s="65" t="str">
        <f>IF(고객요구사항도출표!C11="","",고객요구사항도출표!C11)</f>
        <v/>
      </c>
      <c r="D11" s="66" t="e">
        <f>'kano분석 집계표'!I11</f>
        <v>#DIV/0!</v>
      </c>
      <c r="E11" s="67" t="e">
        <f>'kano분석 집계표'!J11</f>
        <v>#DIV/0!</v>
      </c>
      <c r="F11" s="63" t="e">
        <f t="shared" si="0"/>
        <v>#DIV/0!</v>
      </c>
      <c r="G11" s="238">
        <f>TIMKO!S9</f>
        <v>0</v>
      </c>
    </row>
    <row r="12" spans="2:18" ht="15.6" x14ac:dyDescent="0.35">
      <c r="B12" s="64">
        <f>고객요구사항도출표!B12</f>
        <v>8</v>
      </c>
      <c r="C12" s="65" t="str">
        <f>IF(고객요구사항도출표!C12="","",고객요구사항도출표!C12)</f>
        <v/>
      </c>
      <c r="D12" s="66" t="e">
        <f>'kano분석 집계표'!I12</f>
        <v>#DIV/0!</v>
      </c>
      <c r="E12" s="67" t="e">
        <f>'kano분석 집계표'!J12</f>
        <v>#DIV/0!</v>
      </c>
      <c r="F12" s="63" t="e">
        <f t="shared" si="0"/>
        <v>#DIV/0!</v>
      </c>
      <c r="G12" s="238">
        <f>TIMKO!S10</f>
        <v>0</v>
      </c>
    </row>
    <row r="13" spans="2:18" ht="15.6" x14ac:dyDescent="0.35">
      <c r="B13" s="64">
        <f>고객요구사항도출표!B13</f>
        <v>9</v>
      </c>
      <c r="C13" s="65" t="str">
        <f>IF(고객요구사항도출표!C13="","",고객요구사항도출표!C13)</f>
        <v/>
      </c>
      <c r="D13" s="66" t="e">
        <f>'kano분석 집계표'!I13</f>
        <v>#DIV/0!</v>
      </c>
      <c r="E13" s="67" t="e">
        <f>'kano분석 집계표'!J13</f>
        <v>#DIV/0!</v>
      </c>
      <c r="F13" s="63" t="e">
        <f t="shared" si="0"/>
        <v>#DIV/0!</v>
      </c>
      <c r="G13" s="238">
        <f>TIMKO!S11</f>
        <v>0</v>
      </c>
    </row>
    <row r="14" spans="2:18" ht="15.6" x14ac:dyDescent="0.35">
      <c r="B14" s="64">
        <f>고객요구사항도출표!B14</f>
        <v>10</v>
      </c>
      <c r="C14" s="65" t="str">
        <f>IF(고객요구사항도출표!C14="","",고객요구사항도출표!C14)</f>
        <v/>
      </c>
      <c r="D14" s="66" t="e">
        <f>'kano분석 집계표'!I14</f>
        <v>#DIV/0!</v>
      </c>
      <c r="E14" s="67" t="e">
        <f>'kano분석 집계표'!J14</f>
        <v>#DIV/0!</v>
      </c>
      <c r="F14" s="63" t="e">
        <f t="shared" si="0"/>
        <v>#DIV/0!</v>
      </c>
      <c r="G14" s="238">
        <f>TIMKO!S12</f>
        <v>0</v>
      </c>
    </row>
    <row r="15" spans="2:18" ht="15.6" x14ac:dyDescent="0.35">
      <c r="B15" s="64">
        <f>고객요구사항도출표!B15</f>
        <v>11</v>
      </c>
      <c r="C15" s="65" t="str">
        <f>IF(고객요구사항도출표!C15="","",고객요구사항도출표!C15)</f>
        <v/>
      </c>
      <c r="D15" s="66" t="e">
        <f>'kano분석 집계표'!I15</f>
        <v>#DIV/0!</v>
      </c>
      <c r="E15" s="67" t="e">
        <f>'kano분석 집계표'!J15</f>
        <v>#DIV/0!</v>
      </c>
      <c r="F15" s="63" t="e">
        <f t="shared" si="0"/>
        <v>#DIV/0!</v>
      </c>
      <c r="G15" s="238">
        <f>TIMKO!S13</f>
        <v>0</v>
      </c>
    </row>
    <row r="16" spans="2:18" ht="15.6" x14ac:dyDescent="0.35">
      <c r="B16" s="64">
        <f>고객요구사항도출표!B16</f>
        <v>12</v>
      </c>
      <c r="C16" s="65" t="str">
        <f>IF(고객요구사항도출표!C16="","",고객요구사항도출표!C16)</f>
        <v/>
      </c>
      <c r="D16" s="66" t="e">
        <f>'kano분석 집계표'!I16</f>
        <v>#DIV/0!</v>
      </c>
      <c r="E16" s="67" t="e">
        <f>'kano분석 집계표'!J16</f>
        <v>#DIV/0!</v>
      </c>
      <c r="F16" s="63" t="e">
        <f t="shared" si="0"/>
        <v>#DIV/0!</v>
      </c>
      <c r="G16" s="238">
        <f>TIMKO!S14</f>
        <v>0</v>
      </c>
    </row>
    <row r="17" spans="2:7" ht="15.6" x14ac:dyDescent="0.35">
      <c r="B17" s="64">
        <f>고객요구사항도출표!B17</f>
        <v>13</v>
      </c>
      <c r="C17" s="65" t="str">
        <f>IF(고객요구사항도출표!C17="","",고객요구사항도출표!C17)</f>
        <v/>
      </c>
      <c r="D17" s="66" t="e">
        <f>'kano분석 집계표'!I17</f>
        <v>#DIV/0!</v>
      </c>
      <c r="E17" s="67" t="e">
        <f>'kano분석 집계표'!J17</f>
        <v>#DIV/0!</v>
      </c>
      <c r="F17" s="63" t="e">
        <f t="shared" si="0"/>
        <v>#DIV/0!</v>
      </c>
      <c r="G17" s="238">
        <f>TIMKO!S15</f>
        <v>0</v>
      </c>
    </row>
    <row r="18" spans="2:7" ht="15.6" x14ac:dyDescent="0.35">
      <c r="B18" s="64">
        <f>고객요구사항도출표!B18</f>
        <v>14</v>
      </c>
      <c r="C18" s="65" t="str">
        <f>IF(고객요구사항도출표!C18="","",고객요구사항도출표!C18)</f>
        <v/>
      </c>
      <c r="D18" s="66" t="e">
        <f>'kano분석 집계표'!I18</f>
        <v>#DIV/0!</v>
      </c>
      <c r="E18" s="67" t="e">
        <f>'kano분석 집계표'!J18</f>
        <v>#DIV/0!</v>
      </c>
      <c r="F18" s="63" t="e">
        <f t="shared" si="0"/>
        <v>#DIV/0!</v>
      </c>
      <c r="G18" s="238">
        <f>TIMKO!S16</f>
        <v>0</v>
      </c>
    </row>
    <row r="19" spans="2:7" ht="15.6" x14ac:dyDescent="0.35">
      <c r="B19" s="64">
        <f>고객요구사항도출표!B19</f>
        <v>15</v>
      </c>
      <c r="C19" s="65" t="str">
        <f>IF(고객요구사항도출표!C19="","",고객요구사항도출표!C19)</f>
        <v/>
      </c>
      <c r="D19" s="66" t="e">
        <f>'kano분석 집계표'!I19</f>
        <v>#DIV/0!</v>
      </c>
      <c r="E19" s="67" t="e">
        <f>'kano분석 집계표'!J19</f>
        <v>#DIV/0!</v>
      </c>
      <c r="F19" s="63" t="e">
        <f t="shared" si="0"/>
        <v>#DIV/0!</v>
      </c>
      <c r="G19" s="238">
        <f>TIMKO!S17</f>
        <v>0</v>
      </c>
    </row>
    <row r="20" spans="2:7" ht="15.6" x14ac:dyDescent="0.35">
      <c r="B20" s="64">
        <f>고객요구사항도출표!B20</f>
        <v>16</v>
      </c>
      <c r="C20" s="65" t="str">
        <f>IF(고객요구사항도출표!C20="","",고객요구사항도출표!C20)</f>
        <v/>
      </c>
      <c r="D20" s="66" t="e">
        <f>'kano분석 집계표'!I20</f>
        <v>#DIV/0!</v>
      </c>
      <c r="E20" s="67" t="e">
        <f>'kano분석 집계표'!J20</f>
        <v>#DIV/0!</v>
      </c>
      <c r="F20" s="63" t="e">
        <f t="shared" si="0"/>
        <v>#DIV/0!</v>
      </c>
      <c r="G20" s="238">
        <f>TIMKO!S18</f>
        <v>0</v>
      </c>
    </row>
    <row r="21" spans="2:7" ht="15.6" x14ac:dyDescent="0.35">
      <c r="B21" s="64">
        <f>고객요구사항도출표!B21</f>
        <v>17</v>
      </c>
      <c r="C21" s="65" t="str">
        <f>IF(고객요구사항도출표!C21="","",고객요구사항도출표!C21)</f>
        <v/>
      </c>
      <c r="D21" s="66" t="e">
        <f>'kano분석 집계표'!I21</f>
        <v>#DIV/0!</v>
      </c>
      <c r="E21" s="67" t="e">
        <f>'kano분석 집계표'!J21</f>
        <v>#DIV/0!</v>
      </c>
      <c r="F21" s="63" t="e">
        <f t="shared" si="0"/>
        <v>#DIV/0!</v>
      </c>
      <c r="G21" s="238">
        <f>TIMKO!S19</f>
        <v>0</v>
      </c>
    </row>
    <row r="22" spans="2:7" ht="15.6" x14ac:dyDescent="0.35">
      <c r="B22" s="64">
        <f>고객요구사항도출표!B22</f>
        <v>18</v>
      </c>
      <c r="C22" s="65" t="str">
        <f>IF(고객요구사항도출표!C22="","",고객요구사항도출표!C22)</f>
        <v/>
      </c>
      <c r="D22" s="66" t="e">
        <f>'kano분석 집계표'!I22</f>
        <v>#DIV/0!</v>
      </c>
      <c r="E22" s="67" t="e">
        <f>'kano분석 집계표'!J22</f>
        <v>#DIV/0!</v>
      </c>
      <c r="F22" s="63" t="e">
        <f t="shared" si="0"/>
        <v>#DIV/0!</v>
      </c>
      <c r="G22" s="238">
        <f>TIMKO!S20</f>
        <v>0</v>
      </c>
    </row>
    <row r="23" spans="2:7" ht="15.6" x14ac:dyDescent="0.35">
      <c r="B23" s="64">
        <f>고객요구사항도출표!B23</f>
        <v>19</v>
      </c>
      <c r="C23" s="65" t="str">
        <f>IF(고객요구사항도출표!C23="","",고객요구사항도출표!C23)</f>
        <v/>
      </c>
      <c r="D23" s="66" t="e">
        <f>'kano분석 집계표'!I23</f>
        <v>#DIV/0!</v>
      </c>
      <c r="E23" s="67" t="e">
        <f>'kano분석 집계표'!J23</f>
        <v>#DIV/0!</v>
      </c>
      <c r="F23" s="63" t="e">
        <f t="shared" si="0"/>
        <v>#DIV/0!</v>
      </c>
      <c r="G23" s="238">
        <f>TIMKO!S21</f>
        <v>0</v>
      </c>
    </row>
    <row r="24" spans="2:7" ht="15.6" x14ac:dyDescent="0.35">
      <c r="B24" s="64">
        <f>고객요구사항도출표!B24</f>
        <v>20</v>
      </c>
      <c r="C24" s="65" t="str">
        <f>IF(고객요구사항도출표!C24="","",고객요구사항도출표!C24)</f>
        <v/>
      </c>
      <c r="D24" s="66" t="e">
        <f>'kano분석 집계표'!I24</f>
        <v>#DIV/0!</v>
      </c>
      <c r="E24" s="67" t="e">
        <f>'kano분석 집계표'!J24</f>
        <v>#DIV/0!</v>
      </c>
      <c r="F24" s="63" t="e">
        <f t="shared" si="0"/>
        <v>#DIV/0!</v>
      </c>
      <c r="G24" s="238">
        <f>TIMKO!S22</f>
        <v>0</v>
      </c>
    </row>
    <row r="25" spans="2:7" ht="15.6" x14ac:dyDescent="0.35">
      <c r="B25" s="64">
        <f>고객요구사항도출표!B25</f>
        <v>21</v>
      </c>
      <c r="C25" s="65" t="str">
        <f>IF(고객요구사항도출표!C25="","",고객요구사항도출표!C25)</f>
        <v/>
      </c>
      <c r="D25" s="66" t="e">
        <f>'kano분석 집계표'!I25</f>
        <v>#DIV/0!</v>
      </c>
      <c r="E25" s="67" t="e">
        <f>'kano분석 집계표'!J25</f>
        <v>#DIV/0!</v>
      </c>
      <c r="F25" s="63" t="e">
        <f t="shared" si="0"/>
        <v>#DIV/0!</v>
      </c>
      <c r="G25" s="63"/>
    </row>
    <row r="26" spans="2:7" ht="15.6" x14ac:dyDescent="0.35">
      <c r="B26" s="64">
        <f>고객요구사항도출표!B26</f>
        <v>22</v>
      </c>
      <c r="C26" s="65" t="str">
        <f>IF(고객요구사항도출표!C26="","",고객요구사항도출표!C26)</f>
        <v/>
      </c>
      <c r="D26" s="66" t="e">
        <f>'kano분석 집계표'!I26</f>
        <v>#DIV/0!</v>
      </c>
      <c r="E26" s="67" t="e">
        <f>'kano분석 집계표'!J26</f>
        <v>#DIV/0!</v>
      </c>
      <c r="F26" s="63" t="e">
        <f t="shared" si="0"/>
        <v>#DIV/0!</v>
      </c>
      <c r="G26" s="63"/>
    </row>
    <row r="27" spans="2:7" ht="15.6" x14ac:dyDescent="0.35">
      <c r="B27" s="64">
        <f>고객요구사항도출표!B27</f>
        <v>23</v>
      </c>
      <c r="C27" s="65" t="str">
        <f>IF(고객요구사항도출표!C27="","",고객요구사항도출표!C27)</f>
        <v/>
      </c>
      <c r="D27" s="66" t="e">
        <f>'kano분석 집계표'!I27</f>
        <v>#DIV/0!</v>
      </c>
      <c r="E27" s="67" t="e">
        <f>'kano분석 집계표'!J27</f>
        <v>#DIV/0!</v>
      </c>
      <c r="F27" s="63" t="e">
        <f t="shared" si="0"/>
        <v>#DIV/0!</v>
      </c>
      <c r="G27" s="63"/>
    </row>
    <row r="28" spans="2:7" ht="15.6" x14ac:dyDescent="0.35">
      <c r="B28" s="64">
        <f>고객요구사항도출표!B28</f>
        <v>24</v>
      </c>
      <c r="C28" s="65" t="str">
        <f>IF(고객요구사항도출표!C28="","",고객요구사항도출표!C28)</f>
        <v/>
      </c>
      <c r="D28" s="66" t="e">
        <f>'kano분석 집계표'!I28</f>
        <v>#DIV/0!</v>
      </c>
      <c r="E28" s="67" t="e">
        <f>'kano분석 집계표'!J28</f>
        <v>#DIV/0!</v>
      </c>
      <c r="F28" s="63" t="e">
        <f t="shared" si="0"/>
        <v>#DIV/0!</v>
      </c>
      <c r="G28" s="63"/>
    </row>
    <row r="29" spans="2:7" ht="15.6" x14ac:dyDescent="0.35">
      <c r="B29" s="64">
        <f>고객요구사항도출표!B29</f>
        <v>25</v>
      </c>
      <c r="C29" s="65" t="str">
        <f>IF(고객요구사항도출표!C29="","",고객요구사항도출표!C29)</f>
        <v/>
      </c>
      <c r="D29" s="66" t="e">
        <f>'kano분석 집계표'!I29</f>
        <v>#DIV/0!</v>
      </c>
      <c r="E29" s="67" t="e">
        <f>'kano분석 집계표'!J29</f>
        <v>#DIV/0!</v>
      </c>
      <c r="F29" s="63" t="e">
        <f t="shared" si="0"/>
        <v>#DIV/0!</v>
      </c>
      <c r="G29" s="63"/>
    </row>
    <row r="30" spans="2:7" ht="15.6" x14ac:dyDescent="0.35">
      <c r="B30" s="64">
        <f>고객요구사항도출표!B30</f>
        <v>26</v>
      </c>
      <c r="C30" s="65" t="str">
        <f>IF(고객요구사항도출표!C30="","",고객요구사항도출표!C30)</f>
        <v/>
      </c>
      <c r="D30" s="66" t="e">
        <f>'kano분석 집계표'!I30</f>
        <v>#DIV/0!</v>
      </c>
      <c r="E30" s="67" t="e">
        <f>'kano분석 집계표'!J30</f>
        <v>#DIV/0!</v>
      </c>
      <c r="F30" s="63" t="e">
        <f t="shared" si="0"/>
        <v>#DIV/0!</v>
      </c>
      <c r="G30" s="63"/>
    </row>
    <row r="31" spans="2:7" ht="15.6" x14ac:dyDescent="0.35">
      <c r="B31" s="64">
        <f>고객요구사항도출표!B31</f>
        <v>27</v>
      </c>
      <c r="C31" s="65" t="str">
        <f>IF(고객요구사항도출표!C31="","",고객요구사항도출표!C31)</f>
        <v/>
      </c>
      <c r="D31" s="66" t="e">
        <f>'kano분석 집계표'!I31</f>
        <v>#DIV/0!</v>
      </c>
      <c r="E31" s="67" t="e">
        <f>'kano분석 집계표'!J31</f>
        <v>#DIV/0!</v>
      </c>
      <c r="F31" s="63" t="e">
        <f t="shared" si="0"/>
        <v>#DIV/0!</v>
      </c>
      <c r="G31" s="63"/>
    </row>
    <row r="32" spans="2:7" ht="15.6" x14ac:dyDescent="0.35">
      <c r="B32" s="64">
        <f>고객요구사항도출표!B32</f>
        <v>28</v>
      </c>
      <c r="C32" s="65" t="str">
        <f>IF(고객요구사항도출표!C32="","",고객요구사항도출표!C32)</f>
        <v/>
      </c>
      <c r="D32" s="66" t="e">
        <f>'kano분석 집계표'!I32</f>
        <v>#DIV/0!</v>
      </c>
      <c r="E32" s="67" t="e">
        <f>'kano분석 집계표'!J32</f>
        <v>#DIV/0!</v>
      </c>
      <c r="F32" s="63" t="e">
        <f t="shared" si="0"/>
        <v>#DIV/0!</v>
      </c>
      <c r="G32" s="63"/>
    </row>
    <row r="33" spans="2:7" ht="15.6" x14ac:dyDescent="0.35">
      <c r="B33" s="64">
        <f>고객요구사항도출표!B33</f>
        <v>29</v>
      </c>
      <c r="C33" s="65" t="str">
        <f>IF(고객요구사항도출표!C33="","",고객요구사항도출표!C33)</f>
        <v/>
      </c>
      <c r="D33" s="66" t="e">
        <f>'kano분석 집계표'!I33</f>
        <v>#DIV/0!</v>
      </c>
      <c r="E33" s="67" t="e">
        <f>'kano분석 집계표'!J33</f>
        <v>#DIV/0!</v>
      </c>
      <c r="F33" s="63" t="e">
        <f t="shared" si="0"/>
        <v>#DIV/0!</v>
      </c>
      <c r="G33" s="63"/>
    </row>
    <row r="34" spans="2:7" ht="15.6" x14ac:dyDescent="0.35">
      <c r="B34" s="64">
        <f>고객요구사항도출표!B34</f>
        <v>30</v>
      </c>
      <c r="C34" s="65" t="str">
        <f>IF(고객요구사항도출표!C34="","",고객요구사항도출표!C34)</f>
        <v/>
      </c>
      <c r="D34" s="66" t="e">
        <f>'kano분석 집계표'!I34</f>
        <v>#DIV/0!</v>
      </c>
      <c r="E34" s="67" t="e">
        <f>'kano분석 집계표'!J34</f>
        <v>#DIV/0!</v>
      </c>
      <c r="F34" s="63" t="e">
        <f t="shared" si="0"/>
        <v>#DIV/0!</v>
      </c>
      <c r="G34" s="63"/>
    </row>
    <row r="35" spans="2:7" ht="15.6" x14ac:dyDescent="0.35">
      <c r="B35" s="64">
        <f>고객요구사항도출표!B35</f>
        <v>31</v>
      </c>
      <c r="C35" s="65" t="str">
        <f>IF(고객요구사항도출표!C35="","",고객요구사항도출표!C35)</f>
        <v/>
      </c>
      <c r="D35" s="66" t="e">
        <f>'kano분석 집계표'!I35</f>
        <v>#DIV/0!</v>
      </c>
      <c r="E35" s="67" t="e">
        <f>'kano분석 집계표'!J35</f>
        <v>#DIV/0!</v>
      </c>
      <c r="F35" s="63" t="e">
        <f t="shared" si="0"/>
        <v>#DIV/0!</v>
      </c>
      <c r="G35" s="63"/>
    </row>
    <row r="36" spans="2:7" ht="15.6" x14ac:dyDescent="0.35">
      <c r="B36" s="64">
        <f>고객요구사항도출표!B36</f>
        <v>32</v>
      </c>
      <c r="C36" s="65" t="str">
        <f>IF(고객요구사항도출표!C36="","",고객요구사항도출표!C36)</f>
        <v/>
      </c>
      <c r="D36" s="66" t="e">
        <f>'kano분석 집계표'!I36</f>
        <v>#DIV/0!</v>
      </c>
      <c r="E36" s="67" t="e">
        <f>'kano분석 집계표'!J36</f>
        <v>#DIV/0!</v>
      </c>
      <c r="F36" s="63" t="e">
        <f t="shared" si="0"/>
        <v>#DIV/0!</v>
      </c>
      <c r="G36" s="63"/>
    </row>
    <row r="37" spans="2:7" ht="15.6" x14ac:dyDescent="0.35">
      <c r="B37" s="64">
        <f>고객요구사항도출표!B37</f>
        <v>33</v>
      </c>
      <c r="C37" s="65" t="str">
        <f>IF(고객요구사항도출표!C37="","",고객요구사항도출표!C37)</f>
        <v/>
      </c>
      <c r="D37" s="66" t="e">
        <f>'kano분석 집계표'!I37</f>
        <v>#DIV/0!</v>
      </c>
      <c r="E37" s="67" t="e">
        <f>'kano분석 집계표'!J37</f>
        <v>#DIV/0!</v>
      </c>
      <c r="F37" s="63" t="e">
        <f t="shared" si="0"/>
        <v>#DIV/0!</v>
      </c>
      <c r="G37" s="63"/>
    </row>
    <row r="38" spans="2:7" ht="15.6" x14ac:dyDescent="0.35">
      <c r="B38" s="64">
        <f>고객요구사항도출표!B38</f>
        <v>34</v>
      </c>
      <c r="C38" s="65" t="str">
        <f>IF(고객요구사항도출표!C38="","",고객요구사항도출표!C38)</f>
        <v/>
      </c>
      <c r="D38" s="66" t="e">
        <f>'kano분석 집계표'!I38</f>
        <v>#DIV/0!</v>
      </c>
      <c r="E38" s="67" t="e">
        <f>'kano분석 집계표'!J38</f>
        <v>#DIV/0!</v>
      </c>
      <c r="F38" s="63" t="e">
        <f t="shared" si="0"/>
        <v>#DIV/0!</v>
      </c>
      <c r="G38" s="63"/>
    </row>
    <row r="39" spans="2:7" ht="15.6" x14ac:dyDescent="0.35">
      <c r="B39" s="64">
        <f>고객요구사항도출표!B39</f>
        <v>35</v>
      </c>
      <c r="C39" s="65" t="str">
        <f>IF(고객요구사항도출표!C39="","",고객요구사항도출표!C39)</f>
        <v/>
      </c>
      <c r="D39" s="66" t="e">
        <f>'kano분석 집계표'!I39</f>
        <v>#DIV/0!</v>
      </c>
      <c r="E39" s="67" t="e">
        <f>'kano분석 집계표'!J39</f>
        <v>#DIV/0!</v>
      </c>
      <c r="F39" s="63" t="e">
        <f t="shared" si="0"/>
        <v>#DIV/0!</v>
      </c>
      <c r="G39" s="63"/>
    </row>
  </sheetData>
  <mergeCells count="1">
    <mergeCell ref="B2:R2"/>
  </mergeCells>
  <phoneticPr fontId="6" type="noConversion"/>
  <pageMargins left="0.35433070866141736" right="0.35433070866141736" top="0.98425196850393704" bottom="0.98425196850393704" header="0.51181102362204722" footer="0.51181102362204722"/>
  <pageSetup paperSize="9" scale="71" orientation="landscape" r:id="rId1"/>
  <headerFooter alignWithMargins="0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29"/>
  <sheetViews>
    <sheetView zoomScale="70" zoomScaleNormal="70" workbookViewId="0">
      <selection activeCell="Y16" sqref="Y16"/>
    </sheetView>
  </sheetViews>
  <sheetFormatPr defaultRowHeight="17.399999999999999" x14ac:dyDescent="0.4"/>
  <cols>
    <col min="6" max="7" width="8.69921875" customWidth="1"/>
    <col min="15" max="15" width="31" customWidth="1"/>
  </cols>
  <sheetData>
    <row r="1" spans="1:22" x14ac:dyDescent="0.4">
      <c r="M1" s="157"/>
    </row>
    <row r="2" spans="1:22" ht="39" thickBot="1" x14ac:dyDescent="0.6">
      <c r="B2" s="234">
        <v>3.2</v>
      </c>
      <c r="C2" s="235">
        <v>3.4</v>
      </c>
      <c r="D2" s="235">
        <v>3.6</v>
      </c>
      <c r="E2" s="236">
        <v>3.8</v>
      </c>
      <c r="F2" s="236">
        <v>4</v>
      </c>
      <c r="G2" s="234">
        <v>4.2</v>
      </c>
      <c r="H2" s="234">
        <v>4.4000000000000004</v>
      </c>
      <c r="I2" s="234">
        <v>4.5999999999999996</v>
      </c>
      <c r="J2" s="234">
        <v>4.8</v>
      </c>
      <c r="K2" s="237">
        <v>5</v>
      </c>
      <c r="O2" s="159" t="s">
        <v>148</v>
      </c>
      <c r="P2" s="160" t="s">
        <v>149</v>
      </c>
      <c r="Q2" s="160" t="s">
        <v>150</v>
      </c>
      <c r="R2" s="160" t="s">
        <v>151</v>
      </c>
      <c r="S2" s="160" t="s">
        <v>152</v>
      </c>
    </row>
    <row r="3" spans="1:22" ht="39" customHeight="1" x14ac:dyDescent="0.4">
      <c r="B3" s="161"/>
      <c r="C3" s="162"/>
      <c r="D3" s="163"/>
      <c r="E3" s="164"/>
      <c r="F3" s="165"/>
      <c r="G3" s="166"/>
      <c r="H3" s="167"/>
      <c r="I3" s="168"/>
      <c r="J3" s="169"/>
      <c r="K3" s="170"/>
      <c r="L3" s="232" t="s">
        <v>170</v>
      </c>
      <c r="M3" s="157"/>
      <c r="N3" s="171">
        <v>1</v>
      </c>
      <c r="O3" s="172">
        <f>고객요구사항도출표!C5</f>
        <v>0</v>
      </c>
      <c r="P3" s="173" t="e">
        <f>'kano분석 집계표'!I5</f>
        <v>#DIV/0!</v>
      </c>
      <c r="Q3" s="173" t="e">
        <f>'kano분석 집계표'!J5</f>
        <v>#DIV/0!</v>
      </c>
      <c r="R3" s="174" t="str">
        <f>IF(S3&gt;=4.2, "매력", IF(S3&gt;=3.2, "일원", IF(S3&gt;=2.2, "당연", "무관심")))</f>
        <v>무관심</v>
      </c>
      <c r="S3" s="175"/>
      <c r="U3" s="176"/>
      <c r="V3" s="177" t="s">
        <v>153</v>
      </c>
    </row>
    <row r="4" spans="1:22" ht="39" customHeight="1" x14ac:dyDescent="0.4">
      <c r="B4" s="178"/>
      <c r="C4" s="179"/>
      <c r="D4" s="180"/>
      <c r="E4" s="181"/>
      <c r="F4" s="182"/>
      <c r="G4" s="183"/>
      <c r="H4" s="184"/>
      <c r="I4" s="185"/>
      <c r="J4" s="186"/>
      <c r="K4" s="187"/>
      <c r="L4" s="233" t="s">
        <v>171</v>
      </c>
      <c r="M4" s="157"/>
      <c r="N4" s="171">
        <v>2</v>
      </c>
      <c r="O4" s="172">
        <f>고객요구사항도출표!C6</f>
        <v>0</v>
      </c>
      <c r="P4" s="173" t="e">
        <f>'kano분석 집계표'!I6</f>
        <v>#DIV/0!</v>
      </c>
      <c r="Q4" s="173" t="e">
        <f>'kano분석 집계표'!J6</f>
        <v>#DIV/0!</v>
      </c>
      <c r="R4" s="174" t="str">
        <f t="shared" ref="R4:R22" si="0">IF(S4&gt;=4.2, "매력", IF(S4&gt;=3.2, "일원", IF(S4&gt;=2.2, "당연", "무관심")))</f>
        <v>무관심</v>
      </c>
      <c r="S4" s="175"/>
      <c r="U4" s="188"/>
      <c r="V4" s="177" t="s">
        <v>154</v>
      </c>
    </row>
    <row r="5" spans="1:22" ht="39" customHeight="1" x14ac:dyDescent="0.4">
      <c r="B5" s="178"/>
      <c r="C5" s="179"/>
      <c r="D5" s="189"/>
      <c r="E5" s="189"/>
      <c r="F5" s="190"/>
      <c r="G5" s="191"/>
      <c r="H5" s="192"/>
      <c r="I5" s="193"/>
      <c r="J5" s="193"/>
      <c r="K5" s="194"/>
      <c r="L5" s="233" t="s">
        <v>172</v>
      </c>
      <c r="M5" s="157"/>
      <c r="N5" s="171">
        <v>3</v>
      </c>
      <c r="O5" s="172">
        <f>고객요구사항도출표!C7</f>
        <v>0</v>
      </c>
      <c r="P5" s="173" t="e">
        <f>'kano분석 집계표'!I7</f>
        <v>#DIV/0!</v>
      </c>
      <c r="Q5" s="173" t="e">
        <f>'kano분석 집계표'!J7</f>
        <v>#DIV/0!</v>
      </c>
      <c r="R5" s="174" t="str">
        <f t="shared" si="0"/>
        <v>무관심</v>
      </c>
      <c r="S5" s="175"/>
      <c r="U5" s="195"/>
      <c r="V5" s="177" t="s">
        <v>156</v>
      </c>
    </row>
    <row r="6" spans="1:22" ht="39" customHeight="1" x14ac:dyDescent="0.4">
      <c r="B6" s="178"/>
      <c r="C6" s="196"/>
      <c r="D6" s="196"/>
      <c r="E6" s="196"/>
      <c r="F6" s="197"/>
      <c r="G6" s="198"/>
      <c r="H6" s="199"/>
      <c r="I6" s="199"/>
      <c r="J6" s="199"/>
      <c r="K6" s="200"/>
      <c r="L6" s="233" t="s">
        <v>173</v>
      </c>
      <c r="M6" s="157"/>
      <c r="N6" s="171">
        <v>4</v>
      </c>
      <c r="O6" s="172">
        <f>고객요구사항도출표!C8</f>
        <v>0</v>
      </c>
      <c r="P6" s="173" t="e">
        <f>'kano분석 집계표'!I8</f>
        <v>#DIV/0!</v>
      </c>
      <c r="Q6" s="173" t="e">
        <f>'kano분석 집계표'!J8</f>
        <v>#DIV/0!</v>
      </c>
      <c r="R6" s="174" t="str">
        <f t="shared" si="0"/>
        <v>무관심</v>
      </c>
      <c r="S6" s="175"/>
      <c r="U6" s="201"/>
      <c r="V6" s="177" t="s">
        <v>157</v>
      </c>
    </row>
    <row r="7" spans="1:22" ht="39" customHeight="1" thickBot="1" x14ac:dyDescent="0.45">
      <c r="B7" s="202"/>
      <c r="C7" s="203"/>
      <c r="D7" s="203"/>
      <c r="E7" s="203"/>
      <c r="F7" s="204"/>
      <c r="G7" s="205"/>
      <c r="H7" s="206"/>
      <c r="I7" s="206"/>
      <c r="J7" s="206"/>
      <c r="K7" s="207"/>
      <c r="L7" s="233" t="s">
        <v>174</v>
      </c>
      <c r="M7" s="157"/>
      <c r="N7" s="171">
        <v>5</v>
      </c>
      <c r="O7" s="172">
        <f>고객요구사항도출표!C9</f>
        <v>0</v>
      </c>
      <c r="P7" s="173" t="e">
        <f>'kano분석 집계표'!I9</f>
        <v>#DIV/0!</v>
      </c>
      <c r="Q7" s="173" t="e">
        <f>'kano분석 집계표'!J9</f>
        <v>#DIV/0!</v>
      </c>
      <c r="R7" s="174" t="str">
        <f t="shared" si="0"/>
        <v>무관심</v>
      </c>
      <c r="S7" s="175"/>
    </row>
    <row r="8" spans="1:22" ht="39" customHeight="1" x14ac:dyDescent="0.4">
      <c r="B8" s="208"/>
      <c r="C8" s="209"/>
      <c r="D8" s="209"/>
      <c r="E8" s="209"/>
      <c r="F8" s="210"/>
      <c r="G8" s="211"/>
      <c r="H8" s="212"/>
      <c r="I8" s="212"/>
      <c r="J8" s="212"/>
      <c r="K8" s="213"/>
      <c r="L8" s="233" t="s">
        <v>175</v>
      </c>
      <c r="M8" s="158"/>
      <c r="N8" s="171">
        <v>6</v>
      </c>
      <c r="O8" s="172">
        <f>고객요구사항도출표!C10</f>
        <v>0</v>
      </c>
      <c r="P8" s="173" t="e">
        <f>'kano분석 집계표'!I10</f>
        <v>#DIV/0!</v>
      </c>
      <c r="Q8" s="173" t="e">
        <f>'kano분석 집계표'!J10</f>
        <v>#DIV/0!</v>
      </c>
      <c r="R8" s="174" t="str">
        <f t="shared" si="0"/>
        <v>무관심</v>
      </c>
      <c r="S8" s="175"/>
    </row>
    <row r="9" spans="1:22" ht="39" customHeight="1" x14ac:dyDescent="0.4">
      <c r="B9" s="214"/>
      <c r="C9" s="215"/>
      <c r="D9" s="215"/>
      <c r="E9" s="215"/>
      <c r="F9" s="216"/>
      <c r="G9" s="217"/>
      <c r="H9" s="218"/>
      <c r="I9" s="218"/>
      <c r="J9" s="218"/>
      <c r="K9" s="219"/>
      <c r="L9" s="233" t="s">
        <v>176</v>
      </c>
      <c r="M9" s="157"/>
      <c r="N9" s="171">
        <v>7</v>
      </c>
      <c r="O9" s="172">
        <f>고객요구사항도출표!C11</f>
        <v>0</v>
      </c>
      <c r="P9" s="173" t="e">
        <f>'kano분석 집계표'!I11</f>
        <v>#DIV/0!</v>
      </c>
      <c r="Q9" s="173" t="e">
        <f>'kano분석 집계표'!J11</f>
        <v>#DIV/0!</v>
      </c>
      <c r="R9" s="174" t="str">
        <f t="shared" si="0"/>
        <v>무관심</v>
      </c>
      <c r="S9" s="175"/>
    </row>
    <row r="10" spans="1:22" ht="39" customHeight="1" x14ac:dyDescent="0.4">
      <c r="B10" s="214"/>
      <c r="C10" s="215"/>
      <c r="D10" s="215"/>
      <c r="E10" s="215"/>
      <c r="F10" s="216"/>
      <c r="G10" s="217"/>
      <c r="H10" s="218"/>
      <c r="I10" s="218"/>
      <c r="J10" s="218"/>
      <c r="K10" s="219"/>
      <c r="L10" s="233" t="s">
        <v>177</v>
      </c>
      <c r="M10" s="157"/>
      <c r="N10" s="171">
        <v>8</v>
      </c>
      <c r="O10" s="172">
        <f>고객요구사항도출표!C12</f>
        <v>0</v>
      </c>
      <c r="P10" s="173" t="e">
        <f>'kano분석 집계표'!I12</f>
        <v>#DIV/0!</v>
      </c>
      <c r="Q10" s="173" t="e">
        <f>'kano분석 집계표'!J12</f>
        <v>#DIV/0!</v>
      </c>
      <c r="R10" s="174" t="str">
        <f t="shared" si="0"/>
        <v>무관심</v>
      </c>
      <c r="S10" s="175"/>
    </row>
    <row r="11" spans="1:22" ht="39" customHeight="1" x14ac:dyDescent="0.4">
      <c r="B11" s="214"/>
      <c r="C11" s="215"/>
      <c r="D11" s="215"/>
      <c r="E11" s="215"/>
      <c r="F11" s="216"/>
      <c r="G11" s="217"/>
      <c r="H11" s="218"/>
      <c r="I11" s="218"/>
      <c r="J11" s="218"/>
      <c r="K11" s="219"/>
      <c r="L11" s="233" t="s">
        <v>178</v>
      </c>
      <c r="M11" s="157"/>
      <c r="N11" s="171">
        <v>9</v>
      </c>
      <c r="O11" s="172">
        <f>고객요구사항도출표!C13</f>
        <v>0</v>
      </c>
      <c r="P11" s="173" t="e">
        <f>'kano분석 집계표'!I13</f>
        <v>#DIV/0!</v>
      </c>
      <c r="Q11" s="173" t="e">
        <f>'kano분석 집계표'!J13</f>
        <v>#DIV/0!</v>
      </c>
      <c r="R11" s="174" t="str">
        <f t="shared" si="0"/>
        <v>무관심</v>
      </c>
      <c r="S11" s="175"/>
    </row>
    <row r="12" spans="1:22" ht="39" customHeight="1" thickBot="1" x14ac:dyDescent="0.45">
      <c r="A12" s="158"/>
      <c r="B12" s="220"/>
      <c r="C12" s="221"/>
      <c r="D12" s="221"/>
      <c r="E12" s="221"/>
      <c r="F12" s="222"/>
      <c r="G12" s="223"/>
      <c r="H12" s="224"/>
      <c r="I12" s="224"/>
      <c r="J12" s="224"/>
      <c r="K12" s="225"/>
      <c r="L12" s="233" t="s">
        <v>179</v>
      </c>
      <c r="M12" s="157"/>
      <c r="N12" s="171">
        <v>10</v>
      </c>
      <c r="O12" s="172">
        <f>고객요구사항도출표!C14</f>
        <v>0</v>
      </c>
      <c r="P12" s="173" t="e">
        <f>'kano분석 집계표'!I14</f>
        <v>#DIV/0!</v>
      </c>
      <c r="Q12" s="173" t="e">
        <f>'kano분석 집계표'!J14</f>
        <v>#DIV/0!</v>
      </c>
      <c r="R12" s="174" t="str">
        <f t="shared" si="0"/>
        <v>무관심</v>
      </c>
      <c r="S12" s="175"/>
    </row>
    <row r="13" spans="1:22" ht="39" customHeight="1" x14ac:dyDescent="0.4">
      <c r="B13" s="229" t="s">
        <v>160</v>
      </c>
      <c r="C13" s="230" t="s">
        <v>161</v>
      </c>
      <c r="D13" s="230" t="s">
        <v>162</v>
      </c>
      <c r="E13" s="230" t="s">
        <v>163</v>
      </c>
      <c r="F13" s="230" t="s">
        <v>164</v>
      </c>
      <c r="G13" s="231" t="s">
        <v>165</v>
      </c>
      <c r="H13" s="231" t="s">
        <v>166</v>
      </c>
      <c r="I13" s="231" t="s">
        <v>167</v>
      </c>
      <c r="J13" s="231" t="s">
        <v>168</v>
      </c>
      <c r="K13" s="231" t="s">
        <v>169</v>
      </c>
      <c r="L13" s="226">
        <v>0</v>
      </c>
      <c r="M13" s="157"/>
      <c r="N13" s="171">
        <v>11</v>
      </c>
      <c r="O13" s="172">
        <f>고객요구사항도출표!C15</f>
        <v>0</v>
      </c>
      <c r="P13" s="173" t="e">
        <f>'kano분석 집계표'!I15</f>
        <v>#DIV/0!</v>
      </c>
      <c r="Q13" s="173" t="e">
        <f>'kano분석 집계표'!J15</f>
        <v>#DIV/0!</v>
      </c>
      <c r="R13" s="174" t="str">
        <f t="shared" si="0"/>
        <v>무관심</v>
      </c>
      <c r="S13" s="175"/>
    </row>
    <row r="14" spans="1:22" ht="39" customHeight="1" x14ac:dyDescent="0.4">
      <c r="A14" t="s">
        <v>158</v>
      </c>
      <c r="K14" s="227"/>
      <c r="M14" t="s">
        <v>155</v>
      </c>
      <c r="N14" s="171">
        <v>12</v>
      </c>
      <c r="O14" s="172">
        <f>고객요구사항도출표!C16</f>
        <v>0</v>
      </c>
      <c r="P14" s="173" t="e">
        <f>'kano분석 집계표'!I16</f>
        <v>#DIV/0!</v>
      </c>
      <c r="Q14" s="173" t="e">
        <f>'kano분석 집계표'!J16</f>
        <v>#DIV/0!</v>
      </c>
      <c r="R14" s="174" t="str">
        <f t="shared" si="0"/>
        <v>무관심</v>
      </c>
      <c r="S14" s="175"/>
    </row>
    <row r="15" spans="1:22" ht="39" customHeight="1" x14ac:dyDescent="0.4">
      <c r="M15" s="157"/>
      <c r="N15" s="171">
        <v>13</v>
      </c>
      <c r="O15" s="172">
        <f>고객요구사항도출표!C17</f>
        <v>0</v>
      </c>
      <c r="P15" s="173" t="e">
        <f>'kano분석 집계표'!I17</f>
        <v>#DIV/0!</v>
      </c>
      <c r="Q15" s="173" t="e">
        <f>'kano분석 집계표'!J17</f>
        <v>#DIV/0!</v>
      </c>
      <c r="R15" s="174" t="str">
        <f t="shared" si="0"/>
        <v>무관심</v>
      </c>
      <c r="S15" s="175"/>
    </row>
    <row r="16" spans="1:22" ht="39" customHeight="1" x14ac:dyDescent="0.4">
      <c r="M16" s="157"/>
      <c r="N16" s="171">
        <v>14</v>
      </c>
      <c r="O16" s="172">
        <f>고객요구사항도출표!C18</f>
        <v>0</v>
      </c>
      <c r="P16" s="173" t="e">
        <f>'kano분석 집계표'!I18</f>
        <v>#DIV/0!</v>
      </c>
      <c r="Q16" s="173" t="e">
        <f>'kano분석 집계표'!J18</f>
        <v>#DIV/0!</v>
      </c>
      <c r="R16" s="174" t="str">
        <f t="shared" si="0"/>
        <v>무관심</v>
      </c>
      <c r="S16" s="175"/>
    </row>
    <row r="17" spans="13:19" ht="39" customHeight="1" x14ac:dyDescent="0.4">
      <c r="M17" s="157"/>
      <c r="N17" s="171">
        <v>15</v>
      </c>
      <c r="O17" s="172">
        <f>고객요구사항도출표!C19</f>
        <v>0</v>
      </c>
      <c r="P17" s="173" t="e">
        <f>'kano분석 집계표'!I19</f>
        <v>#DIV/0!</v>
      </c>
      <c r="Q17" s="173" t="e">
        <f>'kano분석 집계표'!J19</f>
        <v>#DIV/0!</v>
      </c>
      <c r="R17" s="174" t="str">
        <f t="shared" si="0"/>
        <v>무관심</v>
      </c>
      <c r="S17" s="175"/>
    </row>
    <row r="18" spans="13:19" ht="39" customHeight="1" x14ac:dyDescent="0.4">
      <c r="M18" s="157"/>
      <c r="N18" s="171">
        <v>16</v>
      </c>
      <c r="O18" s="172">
        <f>고객요구사항도출표!C20</f>
        <v>0</v>
      </c>
      <c r="P18" s="173" t="e">
        <f>'kano분석 집계표'!I20</f>
        <v>#DIV/0!</v>
      </c>
      <c r="Q18" s="173" t="e">
        <f>'kano분석 집계표'!J20</f>
        <v>#DIV/0!</v>
      </c>
      <c r="R18" s="174" t="str">
        <f t="shared" si="0"/>
        <v>무관심</v>
      </c>
      <c r="S18" s="175"/>
    </row>
    <row r="19" spans="13:19" ht="39" customHeight="1" x14ac:dyDescent="0.4">
      <c r="M19" s="157"/>
      <c r="N19" s="171">
        <v>17</v>
      </c>
      <c r="O19" s="172">
        <f>고객요구사항도출표!C21</f>
        <v>0</v>
      </c>
      <c r="P19" s="173" t="e">
        <f>'kano분석 집계표'!I21</f>
        <v>#DIV/0!</v>
      </c>
      <c r="Q19" s="173" t="e">
        <f>'kano분석 집계표'!J21</f>
        <v>#DIV/0!</v>
      </c>
      <c r="R19" s="174" t="str">
        <f t="shared" si="0"/>
        <v>무관심</v>
      </c>
      <c r="S19" s="175"/>
    </row>
    <row r="20" spans="13:19" ht="39" customHeight="1" x14ac:dyDescent="0.4">
      <c r="M20" s="157"/>
      <c r="N20" s="171">
        <v>18</v>
      </c>
      <c r="O20" s="172">
        <f>고객요구사항도출표!C22</f>
        <v>0</v>
      </c>
      <c r="P20" s="173" t="e">
        <f>'kano분석 집계표'!I22</f>
        <v>#DIV/0!</v>
      </c>
      <c r="Q20" s="173" t="e">
        <f>'kano분석 집계표'!J22</f>
        <v>#DIV/0!</v>
      </c>
      <c r="R20" s="174" t="str">
        <f t="shared" si="0"/>
        <v>무관심</v>
      </c>
      <c r="S20" s="175"/>
    </row>
    <row r="21" spans="13:19" ht="39" customHeight="1" x14ac:dyDescent="0.4">
      <c r="M21" s="157"/>
      <c r="N21" s="171">
        <v>19</v>
      </c>
      <c r="O21" s="172">
        <f>고객요구사항도출표!C23</f>
        <v>0</v>
      </c>
      <c r="P21" s="173" t="e">
        <f>'kano분석 집계표'!I23</f>
        <v>#DIV/0!</v>
      </c>
      <c r="Q21" s="173" t="e">
        <f>'kano분석 집계표'!J23</f>
        <v>#DIV/0!</v>
      </c>
      <c r="R21" s="174" t="str">
        <f t="shared" si="0"/>
        <v>무관심</v>
      </c>
      <c r="S21" s="175"/>
    </row>
    <row r="22" spans="13:19" ht="39" customHeight="1" x14ac:dyDescent="0.4">
      <c r="M22" s="157"/>
      <c r="N22" s="171">
        <v>20</v>
      </c>
      <c r="O22" s="172">
        <f>고객요구사항도출표!C24</f>
        <v>0</v>
      </c>
      <c r="P22" s="173" t="e">
        <f>'kano분석 집계표'!I24</f>
        <v>#DIV/0!</v>
      </c>
      <c r="Q22" s="173" t="e">
        <f>'kano분석 집계표'!J24</f>
        <v>#DIV/0!</v>
      </c>
      <c r="R22" s="174" t="str">
        <f t="shared" si="0"/>
        <v>무관심</v>
      </c>
      <c r="S22" s="175"/>
    </row>
    <row r="23" spans="13:19" x14ac:dyDescent="0.4">
      <c r="M23" s="157"/>
    </row>
    <row r="24" spans="13:19" x14ac:dyDescent="0.4">
      <c r="M24" s="157"/>
    </row>
    <row r="25" spans="13:19" x14ac:dyDescent="0.4">
      <c r="M25" s="157"/>
    </row>
    <row r="26" spans="13:19" x14ac:dyDescent="0.4">
      <c r="M26" s="157"/>
    </row>
    <row r="27" spans="13:19" x14ac:dyDescent="0.4">
      <c r="M27" s="157"/>
    </row>
    <row r="28" spans="13:19" x14ac:dyDescent="0.4">
      <c r="M28" s="157"/>
    </row>
    <row r="29" spans="13:19" x14ac:dyDescent="0.4">
      <c r="M29" s="157"/>
    </row>
  </sheetData>
  <phoneticPr fontId="6" type="noConversion"/>
  <conditionalFormatting sqref="O3:O22">
    <cfRule type="expression" dxfId="3" priority="1">
      <formula>AND($S3&gt;=3.2,$S3&lt;=4)</formula>
    </cfRule>
    <cfRule type="expression" dxfId="2" priority="2">
      <formula>$S3=2</formula>
    </cfRule>
    <cfRule type="expression" dxfId="1" priority="3">
      <formula>$S3=3</formula>
    </cfRule>
    <cfRule type="expression" dxfId="0" priority="4">
      <formula>$S3&gt;4.1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C2:F19"/>
  <sheetViews>
    <sheetView zoomScale="55" zoomScaleNormal="55" workbookViewId="0">
      <selection activeCell="D4" sqref="D4"/>
    </sheetView>
  </sheetViews>
  <sheetFormatPr defaultRowHeight="17.399999999999999" x14ac:dyDescent="0.4"/>
  <cols>
    <col min="1" max="2" width="2.3984375" customWidth="1"/>
    <col min="3" max="3" width="26.69921875" customWidth="1"/>
    <col min="4" max="4" width="24.3984375" customWidth="1"/>
    <col min="5" max="5" width="29.5" customWidth="1"/>
    <col min="6" max="6" width="27.09765625" customWidth="1"/>
  </cols>
  <sheetData>
    <row r="2" spans="3:6" x14ac:dyDescent="0.4">
      <c r="C2" s="282" t="s">
        <v>185</v>
      </c>
      <c r="D2" s="282"/>
      <c r="E2" s="282"/>
      <c r="F2" s="282"/>
    </row>
    <row r="3" spans="3:6" ht="4.95" customHeight="1" x14ac:dyDescent="0.4"/>
    <row r="4" spans="3:6" ht="33" customHeight="1" x14ac:dyDescent="0.4">
      <c r="C4" s="247" t="s">
        <v>186</v>
      </c>
      <c r="D4" s="247" t="s">
        <v>181</v>
      </c>
      <c r="E4" s="247" t="s">
        <v>182</v>
      </c>
      <c r="F4" s="247" t="s">
        <v>123</v>
      </c>
    </row>
    <row r="5" spans="3:6" ht="33" customHeight="1" x14ac:dyDescent="0.4">
      <c r="C5" s="283"/>
      <c r="D5" s="286"/>
      <c r="E5" s="246"/>
      <c r="F5" s="246"/>
    </row>
    <row r="6" spans="3:6" ht="33" customHeight="1" x14ac:dyDescent="0.4">
      <c r="C6" s="284"/>
      <c r="D6" s="286"/>
      <c r="E6" s="154"/>
      <c r="F6" s="154"/>
    </row>
    <row r="7" spans="3:6" ht="33" customHeight="1" x14ac:dyDescent="0.4">
      <c r="C7" s="284"/>
      <c r="D7" s="287"/>
      <c r="E7" s="154"/>
      <c r="F7" s="154"/>
    </row>
    <row r="8" spans="3:6" ht="33" customHeight="1" x14ac:dyDescent="0.4">
      <c r="C8" s="284"/>
      <c r="D8" s="285"/>
      <c r="E8" s="154"/>
      <c r="F8" s="154"/>
    </row>
    <row r="9" spans="3:6" ht="33" customHeight="1" x14ac:dyDescent="0.4">
      <c r="C9" s="284"/>
      <c r="D9" s="286"/>
      <c r="E9" s="154"/>
      <c r="F9" s="154"/>
    </row>
    <row r="10" spans="3:6" ht="33" customHeight="1" x14ac:dyDescent="0.4">
      <c r="C10" s="284"/>
      <c r="D10" s="287"/>
      <c r="E10" s="154"/>
      <c r="F10" s="154"/>
    </row>
    <row r="11" spans="3:6" ht="33" customHeight="1" x14ac:dyDescent="0.4">
      <c r="C11" s="284"/>
      <c r="D11" s="285"/>
      <c r="E11" s="154"/>
      <c r="F11" s="154"/>
    </row>
    <row r="12" spans="3:6" ht="33" customHeight="1" x14ac:dyDescent="0.4">
      <c r="C12" s="284"/>
      <c r="D12" s="286"/>
      <c r="E12" s="154"/>
      <c r="F12" s="154"/>
    </row>
    <row r="13" spans="3:6" ht="33" customHeight="1" x14ac:dyDescent="0.4">
      <c r="C13" s="284"/>
      <c r="D13" s="286"/>
      <c r="E13" s="154"/>
      <c r="F13" s="154"/>
    </row>
    <row r="14" spans="3:6" ht="33" customHeight="1" x14ac:dyDescent="0.4">
      <c r="C14" s="284"/>
      <c r="D14" s="285"/>
      <c r="E14" s="154"/>
      <c r="F14" s="154"/>
    </row>
    <row r="15" spans="3:6" ht="33" customHeight="1" x14ac:dyDescent="0.4">
      <c r="C15" s="284"/>
      <c r="D15" s="286"/>
      <c r="E15" s="154"/>
      <c r="F15" s="154"/>
    </row>
    <row r="16" spans="3:6" ht="33" customHeight="1" x14ac:dyDescent="0.4">
      <c r="C16" s="284"/>
      <c r="D16" s="287"/>
      <c r="E16" s="154"/>
      <c r="F16" s="154"/>
    </row>
    <row r="17" spans="3:6" ht="33" customHeight="1" x14ac:dyDescent="0.4">
      <c r="C17" s="284"/>
      <c r="D17" s="285"/>
      <c r="E17" s="154"/>
      <c r="F17" s="154"/>
    </row>
    <row r="18" spans="3:6" ht="33" customHeight="1" x14ac:dyDescent="0.4">
      <c r="C18" s="284"/>
      <c r="D18" s="286"/>
      <c r="E18" s="154"/>
      <c r="F18" s="154"/>
    </row>
    <row r="19" spans="3:6" ht="33" customHeight="1" x14ac:dyDescent="0.4">
      <c r="C19" s="284"/>
      <c r="D19" s="287"/>
      <c r="E19" s="154"/>
      <c r="F19" s="154"/>
    </row>
  </sheetData>
  <mergeCells count="11">
    <mergeCell ref="C17:C19"/>
    <mergeCell ref="D14:D16"/>
    <mergeCell ref="D17:D19"/>
    <mergeCell ref="D5:D7"/>
    <mergeCell ref="D8:D10"/>
    <mergeCell ref="D11:D13"/>
    <mergeCell ref="C2:F2"/>
    <mergeCell ref="C5:C7"/>
    <mergeCell ref="C8:C10"/>
    <mergeCell ref="C11:C13"/>
    <mergeCell ref="C14:C16"/>
  </mergeCells>
  <phoneticPr fontId="6" type="noConversion"/>
  <pageMargins left="0.25" right="0.25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41"/>
  <sheetViews>
    <sheetView topLeftCell="A17" zoomScale="70" zoomScaleNormal="70" workbookViewId="0">
      <selection activeCell="P47" sqref="P47"/>
    </sheetView>
  </sheetViews>
  <sheetFormatPr defaultRowHeight="17.399999999999999" x14ac:dyDescent="0.4"/>
  <cols>
    <col min="1" max="1" width="4.3984375" customWidth="1"/>
    <col min="2" max="2" width="21" customWidth="1"/>
    <col min="3" max="3" width="21.59765625" customWidth="1"/>
    <col min="4" max="4" width="34.5" customWidth="1"/>
    <col min="5" max="19" width="9" customWidth="1"/>
    <col min="24" max="24" width="5.19921875" customWidth="1"/>
    <col min="25" max="25" width="7.09765625" customWidth="1"/>
    <col min="26" max="28" width="8" customWidth="1"/>
  </cols>
  <sheetData>
    <row r="1" spans="1:28" ht="18" thickBot="1" x14ac:dyDescent="0.45"/>
    <row r="2" spans="1:28" ht="27.75" customHeight="1" thickBot="1" x14ac:dyDescent="0.45">
      <c r="A2" s="68"/>
      <c r="B2" s="301" t="s">
        <v>93</v>
      </c>
      <c r="C2" s="302"/>
      <c r="D2" s="303"/>
      <c r="E2" s="304"/>
      <c r="F2" s="305"/>
      <c r="G2" s="306"/>
      <c r="H2" s="307"/>
      <c r="I2" s="305"/>
      <c r="J2" s="306"/>
      <c r="K2" s="307"/>
      <c r="L2" s="305"/>
      <c r="M2" s="308"/>
      <c r="N2" s="307"/>
      <c r="O2" s="305"/>
      <c r="P2" s="306"/>
      <c r="Q2" s="307"/>
      <c r="R2" s="305"/>
      <c r="S2" s="308"/>
      <c r="T2" s="69" t="s">
        <v>94</v>
      </c>
      <c r="U2" s="70" t="s">
        <v>95</v>
      </c>
      <c r="V2" s="294" t="s">
        <v>96</v>
      </c>
      <c r="W2" s="294"/>
      <c r="X2" s="295" t="s">
        <v>97</v>
      </c>
      <c r="Y2" s="297" t="s">
        <v>98</v>
      </c>
      <c r="Z2" s="297" t="s">
        <v>99</v>
      </c>
      <c r="AA2" s="297" t="s">
        <v>100</v>
      </c>
      <c r="AB2" s="299" t="s">
        <v>101</v>
      </c>
    </row>
    <row r="3" spans="1:28" ht="31.8" thickBot="1" x14ac:dyDescent="0.45">
      <c r="A3" s="71"/>
      <c r="B3" s="72" t="s">
        <v>102</v>
      </c>
      <c r="C3" s="73" t="s">
        <v>103</v>
      </c>
      <c r="D3" s="74" t="s">
        <v>104</v>
      </c>
      <c r="E3" s="75"/>
      <c r="F3" s="75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7" t="s">
        <v>105</v>
      </c>
      <c r="U3" s="78" t="s">
        <v>106</v>
      </c>
      <c r="V3" s="78" t="s">
        <v>107</v>
      </c>
      <c r="W3" s="78" t="s">
        <v>108</v>
      </c>
      <c r="X3" s="296"/>
      <c r="Y3" s="298"/>
      <c r="Z3" s="298"/>
      <c r="AA3" s="298"/>
      <c r="AB3" s="300"/>
    </row>
    <row r="4" spans="1:28" x14ac:dyDescent="0.35">
      <c r="A4" s="71"/>
      <c r="B4" s="79" t="str">
        <f>IF(고객요구사항도출표!D5="","",고객요구사항도출표!E5)</f>
        <v/>
      </c>
      <c r="C4" s="80" t="str">
        <f>IF(고객요구사항도출표!E5="","",고객요구사항도출표!D5)</f>
        <v/>
      </c>
      <c r="D4" s="81" t="str">
        <f>IF(고객요구사항도출표!C5="","",고객요구사항도출표!C5)</f>
        <v/>
      </c>
      <c r="E4" s="82"/>
      <c r="F4" s="82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4" t="str">
        <f>IF('만족계수 그래프'!G5=0, "",'만족계수 그래프'!G5)</f>
        <v/>
      </c>
      <c r="U4" s="85" t="e">
        <f>IF(T4=0,"",T4/$T$32)</f>
        <v>#VALUE!</v>
      </c>
      <c r="V4" s="86"/>
      <c r="W4" s="86"/>
      <c r="X4" s="87">
        <f t="shared" ref="X4:X31" si="0">MAX(V4:W4)</f>
        <v>0</v>
      </c>
      <c r="Y4" s="88" t="e">
        <f t="shared" ref="Y4:Y31" si="1">X4/V4</f>
        <v>#DIV/0!</v>
      </c>
      <c r="Z4" s="89" t="e">
        <f>T4*Y4</f>
        <v>#VALUE!</v>
      </c>
      <c r="AA4" s="89" t="e">
        <f t="shared" ref="AA4:AA31" si="2">Z4*100/$Z$32</f>
        <v>#VALUE!</v>
      </c>
      <c r="AB4" s="90" t="e">
        <f>RANK(AA4,$AA$4:$AA$31)</f>
        <v>#VALUE!</v>
      </c>
    </row>
    <row r="5" spans="1:28" x14ac:dyDescent="0.35">
      <c r="A5" s="71"/>
      <c r="B5" s="91" t="str">
        <f>IF(고객요구사항도출표!D6="","",고객요구사항도출표!E6)</f>
        <v/>
      </c>
      <c r="C5" s="92" t="str">
        <f>IF(고객요구사항도출표!E6="","",고객요구사항도출표!D6)</f>
        <v/>
      </c>
      <c r="D5" s="93" t="str">
        <f>IF(고객요구사항도출표!C6="","",고객요구사항도출표!C6)</f>
        <v/>
      </c>
      <c r="E5" s="94"/>
      <c r="F5" s="94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84" t="str">
        <f>IF('만족계수 그래프'!G6=0, "",'만족계수 그래프'!G6)</f>
        <v/>
      </c>
      <c r="U5" s="85" t="e">
        <f t="shared" ref="U5:U31" si="3">IF(T5=0,"",T5/$T$32)</f>
        <v>#VALUE!</v>
      </c>
      <c r="V5" s="86"/>
      <c r="W5" s="86"/>
      <c r="X5" s="96">
        <f t="shared" si="0"/>
        <v>0</v>
      </c>
      <c r="Y5" s="97" t="e">
        <f t="shared" si="1"/>
        <v>#DIV/0!</v>
      </c>
      <c r="Z5" s="89" t="e">
        <f t="shared" ref="Z5:Z31" si="4">T5*Y5</f>
        <v>#VALUE!</v>
      </c>
      <c r="AA5" s="89" t="e">
        <f t="shared" si="2"/>
        <v>#VALUE!</v>
      </c>
      <c r="AB5" s="90" t="e">
        <f t="shared" ref="AB5:AB31" si="5">RANK(AA5,$AA$4:$AA$31)</f>
        <v>#VALUE!</v>
      </c>
    </row>
    <row r="6" spans="1:28" x14ac:dyDescent="0.35">
      <c r="A6" s="68"/>
      <c r="B6" s="91" t="str">
        <f>IF(고객요구사항도출표!D7="","",고객요구사항도출표!E7)</f>
        <v/>
      </c>
      <c r="C6" s="92" t="str">
        <f>IF(고객요구사항도출표!E7="","",고객요구사항도출표!D7)</f>
        <v/>
      </c>
      <c r="D6" s="93" t="str">
        <f>IF(고객요구사항도출표!C7="","",고객요구사항도출표!C7)</f>
        <v/>
      </c>
      <c r="E6" s="94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84" t="str">
        <f>IF('만족계수 그래프'!G7=0, "",'만족계수 그래프'!G7)</f>
        <v/>
      </c>
      <c r="U6" s="85" t="e">
        <f t="shared" si="3"/>
        <v>#VALUE!</v>
      </c>
      <c r="V6" s="86"/>
      <c r="W6" s="86"/>
      <c r="X6" s="96">
        <f t="shared" si="0"/>
        <v>0</v>
      </c>
      <c r="Y6" s="97" t="e">
        <f t="shared" si="1"/>
        <v>#DIV/0!</v>
      </c>
      <c r="Z6" s="89" t="e">
        <f t="shared" si="4"/>
        <v>#VALUE!</v>
      </c>
      <c r="AA6" s="89" t="e">
        <f t="shared" si="2"/>
        <v>#VALUE!</v>
      </c>
      <c r="AB6" s="90" t="e">
        <f t="shared" si="5"/>
        <v>#VALUE!</v>
      </c>
    </row>
    <row r="7" spans="1:28" x14ac:dyDescent="0.35">
      <c r="A7" s="68"/>
      <c r="B7" s="91" t="str">
        <f>IF(고객요구사항도출표!D8="","",고객요구사항도출표!E8)</f>
        <v/>
      </c>
      <c r="C7" s="92" t="str">
        <f>IF(고객요구사항도출표!E8="","",고객요구사항도출표!D8)</f>
        <v/>
      </c>
      <c r="D7" s="93" t="str">
        <f>IF(고객요구사항도출표!C8="","",고객요구사항도출표!C8)</f>
        <v/>
      </c>
      <c r="E7" s="94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84" t="str">
        <f>IF('만족계수 그래프'!G8=0, "",'만족계수 그래프'!G8)</f>
        <v/>
      </c>
      <c r="U7" s="85" t="e">
        <f t="shared" si="3"/>
        <v>#VALUE!</v>
      </c>
      <c r="V7" s="86"/>
      <c r="W7" s="86"/>
      <c r="X7" s="96">
        <f t="shared" si="0"/>
        <v>0</v>
      </c>
      <c r="Y7" s="97" t="e">
        <f t="shared" si="1"/>
        <v>#DIV/0!</v>
      </c>
      <c r="Z7" s="89" t="e">
        <f t="shared" si="4"/>
        <v>#VALUE!</v>
      </c>
      <c r="AA7" s="89" t="e">
        <f t="shared" si="2"/>
        <v>#VALUE!</v>
      </c>
      <c r="AB7" s="90" t="e">
        <f t="shared" si="5"/>
        <v>#VALUE!</v>
      </c>
    </row>
    <row r="8" spans="1:28" x14ac:dyDescent="0.35">
      <c r="A8" s="68"/>
      <c r="B8" s="91" t="str">
        <f>IF(고객요구사항도출표!D9="","",고객요구사항도출표!E9)</f>
        <v/>
      </c>
      <c r="C8" s="92" t="str">
        <f>IF(고객요구사항도출표!E9="","",고객요구사항도출표!D9)</f>
        <v/>
      </c>
      <c r="D8" s="93" t="str">
        <f>IF(고객요구사항도출표!C9="","",고객요구사항도출표!C9)</f>
        <v/>
      </c>
      <c r="E8" s="94"/>
      <c r="F8" s="94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84" t="str">
        <f>IF('만족계수 그래프'!G9=0, "",'만족계수 그래프'!G9)</f>
        <v/>
      </c>
      <c r="U8" s="85" t="e">
        <f t="shared" si="3"/>
        <v>#VALUE!</v>
      </c>
      <c r="V8" s="86"/>
      <c r="W8" s="86"/>
      <c r="X8" s="96">
        <f t="shared" si="0"/>
        <v>0</v>
      </c>
      <c r="Y8" s="97" t="e">
        <f t="shared" si="1"/>
        <v>#DIV/0!</v>
      </c>
      <c r="Z8" s="89" t="e">
        <f t="shared" si="4"/>
        <v>#VALUE!</v>
      </c>
      <c r="AA8" s="89" t="e">
        <f t="shared" si="2"/>
        <v>#VALUE!</v>
      </c>
      <c r="AB8" s="90" t="e">
        <f t="shared" si="5"/>
        <v>#VALUE!</v>
      </c>
    </row>
    <row r="9" spans="1:28" x14ac:dyDescent="0.35">
      <c r="A9" s="68"/>
      <c r="B9" s="91" t="str">
        <f>IF(고객요구사항도출표!D10="","",고객요구사항도출표!E10)</f>
        <v/>
      </c>
      <c r="C9" s="92" t="str">
        <f>IF(고객요구사항도출표!E10="","",고객요구사항도출표!D10)</f>
        <v/>
      </c>
      <c r="D9" s="93" t="str">
        <f>IF(고객요구사항도출표!C10="","",고객요구사항도출표!C10)</f>
        <v/>
      </c>
      <c r="E9" s="94"/>
      <c r="F9" s="94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84" t="str">
        <f>IF('만족계수 그래프'!G10=0, "",'만족계수 그래프'!G10)</f>
        <v/>
      </c>
      <c r="U9" s="85" t="e">
        <f t="shared" si="3"/>
        <v>#VALUE!</v>
      </c>
      <c r="V9" s="86"/>
      <c r="W9" s="86"/>
      <c r="X9" s="96">
        <f t="shared" si="0"/>
        <v>0</v>
      </c>
      <c r="Y9" s="97" t="e">
        <f t="shared" si="1"/>
        <v>#DIV/0!</v>
      </c>
      <c r="Z9" s="89" t="e">
        <f t="shared" si="4"/>
        <v>#VALUE!</v>
      </c>
      <c r="AA9" s="89" t="e">
        <f t="shared" si="2"/>
        <v>#VALUE!</v>
      </c>
      <c r="AB9" s="90" t="e">
        <f t="shared" si="5"/>
        <v>#VALUE!</v>
      </c>
    </row>
    <row r="10" spans="1:28" x14ac:dyDescent="0.35">
      <c r="A10" s="68"/>
      <c r="B10" s="91" t="str">
        <f>IF(고객요구사항도출표!D11="","",고객요구사항도출표!E11)</f>
        <v/>
      </c>
      <c r="C10" s="92" t="str">
        <f>IF(고객요구사항도출표!E11="","",고객요구사항도출표!D11)</f>
        <v/>
      </c>
      <c r="D10" s="93" t="str">
        <f>IF(고객요구사항도출표!C11="","",고객요구사항도출표!C11)</f>
        <v/>
      </c>
      <c r="E10" s="94"/>
      <c r="F10" s="94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84" t="str">
        <f>IF('만족계수 그래프'!G11=0, "",'만족계수 그래프'!G11)</f>
        <v/>
      </c>
      <c r="U10" s="85" t="e">
        <f t="shared" si="3"/>
        <v>#VALUE!</v>
      </c>
      <c r="V10" s="86"/>
      <c r="W10" s="86"/>
      <c r="X10" s="96">
        <f t="shared" si="0"/>
        <v>0</v>
      </c>
      <c r="Y10" s="97" t="e">
        <f t="shared" si="1"/>
        <v>#DIV/0!</v>
      </c>
      <c r="Z10" s="89" t="e">
        <f t="shared" si="4"/>
        <v>#VALUE!</v>
      </c>
      <c r="AA10" s="89" t="e">
        <f t="shared" si="2"/>
        <v>#VALUE!</v>
      </c>
      <c r="AB10" s="90" t="e">
        <f t="shared" si="5"/>
        <v>#VALUE!</v>
      </c>
    </row>
    <row r="11" spans="1:28" x14ac:dyDescent="0.35">
      <c r="A11" s="68"/>
      <c r="B11" s="91" t="str">
        <f>IF(고객요구사항도출표!D12="","",고객요구사항도출표!E12)</f>
        <v/>
      </c>
      <c r="C11" s="92" t="str">
        <f>IF(고객요구사항도출표!E12="","",고객요구사항도출표!D12)</f>
        <v/>
      </c>
      <c r="D11" s="93" t="str">
        <f>IF(고객요구사항도출표!C12="","",고객요구사항도출표!C12)</f>
        <v/>
      </c>
      <c r="E11" s="94"/>
      <c r="F11" s="94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84" t="str">
        <f>IF('만족계수 그래프'!G12=0, "",'만족계수 그래프'!G12)</f>
        <v/>
      </c>
      <c r="U11" s="85" t="e">
        <f t="shared" si="3"/>
        <v>#VALUE!</v>
      </c>
      <c r="V11" s="86"/>
      <c r="W11" s="86"/>
      <c r="X11" s="96">
        <f t="shared" si="0"/>
        <v>0</v>
      </c>
      <c r="Y11" s="97" t="e">
        <f t="shared" si="1"/>
        <v>#DIV/0!</v>
      </c>
      <c r="Z11" s="89" t="e">
        <f t="shared" si="4"/>
        <v>#VALUE!</v>
      </c>
      <c r="AA11" s="89" t="e">
        <f t="shared" si="2"/>
        <v>#VALUE!</v>
      </c>
      <c r="AB11" s="90" t="e">
        <f t="shared" si="5"/>
        <v>#VALUE!</v>
      </c>
    </row>
    <row r="12" spans="1:28" x14ac:dyDescent="0.35">
      <c r="A12" s="68"/>
      <c r="B12" s="91" t="str">
        <f>IF(고객요구사항도출표!D13="","",고객요구사항도출표!E13)</f>
        <v/>
      </c>
      <c r="C12" s="92" t="str">
        <f>IF(고객요구사항도출표!E13="","",고객요구사항도출표!D13)</f>
        <v/>
      </c>
      <c r="D12" s="93" t="str">
        <f>IF(고객요구사항도출표!C13="","",고객요구사항도출표!C13)</f>
        <v/>
      </c>
      <c r="E12" s="94"/>
      <c r="F12" s="94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84" t="str">
        <f>IF('만족계수 그래프'!G13=0, "",'만족계수 그래프'!G13)</f>
        <v/>
      </c>
      <c r="U12" s="85" t="e">
        <f t="shared" si="3"/>
        <v>#VALUE!</v>
      </c>
      <c r="V12" s="86"/>
      <c r="W12" s="86"/>
      <c r="X12" s="96">
        <f t="shared" si="0"/>
        <v>0</v>
      </c>
      <c r="Y12" s="97" t="e">
        <f t="shared" si="1"/>
        <v>#DIV/0!</v>
      </c>
      <c r="Z12" s="89" t="e">
        <f t="shared" si="4"/>
        <v>#VALUE!</v>
      </c>
      <c r="AA12" s="89" t="e">
        <f t="shared" si="2"/>
        <v>#VALUE!</v>
      </c>
      <c r="AB12" s="90" t="e">
        <f t="shared" si="5"/>
        <v>#VALUE!</v>
      </c>
    </row>
    <row r="13" spans="1:28" x14ac:dyDescent="0.35">
      <c r="A13" s="68"/>
      <c r="B13" s="91" t="str">
        <f>IF(고객요구사항도출표!D14="","",고객요구사항도출표!E14)</f>
        <v/>
      </c>
      <c r="C13" s="92" t="str">
        <f>IF(고객요구사항도출표!E14="","",고객요구사항도출표!D14)</f>
        <v/>
      </c>
      <c r="D13" s="93" t="str">
        <f>IF(고객요구사항도출표!C14="","",고객요구사항도출표!C14)</f>
        <v/>
      </c>
      <c r="E13" s="94"/>
      <c r="F13" s="94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84" t="str">
        <f>IF('만족계수 그래프'!G14=0, "",'만족계수 그래프'!G14)</f>
        <v/>
      </c>
      <c r="U13" s="85" t="e">
        <f t="shared" si="3"/>
        <v>#VALUE!</v>
      </c>
      <c r="V13" s="86"/>
      <c r="W13" s="86"/>
      <c r="X13" s="96">
        <f t="shared" si="0"/>
        <v>0</v>
      </c>
      <c r="Y13" s="97" t="e">
        <f t="shared" si="1"/>
        <v>#DIV/0!</v>
      </c>
      <c r="Z13" s="89" t="e">
        <f t="shared" si="4"/>
        <v>#VALUE!</v>
      </c>
      <c r="AA13" s="89" t="e">
        <f t="shared" si="2"/>
        <v>#VALUE!</v>
      </c>
      <c r="AB13" s="90" t="e">
        <f t="shared" si="5"/>
        <v>#VALUE!</v>
      </c>
    </row>
    <row r="14" spans="1:28" x14ac:dyDescent="0.35">
      <c r="A14" s="68"/>
      <c r="B14" s="91" t="str">
        <f>IF(고객요구사항도출표!D15="","",고객요구사항도출표!E15)</f>
        <v/>
      </c>
      <c r="C14" s="92" t="str">
        <f>IF(고객요구사항도출표!E15="","",고객요구사항도출표!D15)</f>
        <v/>
      </c>
      <c r="D14" s="93" t="str">
        <f>IF(고객요구사항도출표!C15="","",고객요구사항도출표!C15)</f>
        <v/>
      </c>
      <c r="E14" s="94"/>
      <c r="F14" s="95"/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84" t="str">
        <f>IF('만족계수 그래프'!G15=0, "",'만족계수 그래프'!G15)</f>
        <v/>
      </c>
      <c r="U14" s="85" t="e">
        <f t="shared" si="3"/>
        <v>#VALUE!</v>
      </c>
      <c r="V14" s="86"/>
      <c r="W14" s="86"/>
      <c r="X14" s="96">
        <f t="shared" si="0"/>
        <v>0</v>
      </c>
      <c r="Y14" s="97" t="e">
        <f t="shared" si="1"/>
        <v>#DIV/0!</v>
      </c>
      <c r="Z14" s="89" t="e">
        <f t="shared" si="4"/>
        <v>#VALUE!</v>
      </c>
      <c r="AA14" s="89" t="e">
        <f t="shared" si="2"/>
        <v>#VALUE!</v>
      </c>
      <c r="AB14" s="90" t="e">
        <f t="shared" si="5"/>
        <v>#VALUE!</v>
      </c>
    </row>
    <row r="15" spans="1:28" x14ac:dyDescent="0.35">
      <c r="A15" s="68"/>
      <c r="B15" s="91" t="str">
        <f>IF(고객요구사항도출표!D16="","",고객요구사항도출표!E16)</f>
        <v/>
      </c>
      <c r="C15" s="92" t="str">
        <f>IF(고객요구사항도출표!E16="","",고객요구사항도출표!D16)</f>
        <v/>
      </c>
      <c r="D15" s="93" t="str">
        <f>IF(고객요구사항도출표!C16="","",고객요구사항도출표!C16)</f>
        <v/>
      </c>
      <c r="E15" s="94"/>
      <c r="F15" s="95"/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84" t="str">
        <f>IF('만족계수 그래프'!G16=0, "",'만족계수 그래프'!G16)</f>
        <v/>
      </c>
      <c r="U15" s="85" t="e">
        <f t="shared" si="3"/>
        <v>#VALUE!</v>
      </c>
      <c r="V15" s="86"/>
      <c r="W15" s="86"/>
      <c r="X15" s="96">
        <f t="shared" si="0"/>
        <v>0</v>
      </c>
      <c r="Y15" s="97" t="e">
        <f t="shared" si="1"/>
        <v>#DIV/0!</v>
      </c>
      <c r="Z15" s="89" t="e">
        <f t="shared" si="4"/>
        <v>#VALUE!</v>
      </c>
      <c r="AA15" s="89" t="e">
        <f t="shared" si="2"/>
        <v>#VALUE!</v>
      </c>
      <c r="AB15" s="90" t="e">
        <f t="shared" si="5"/>
        <v>#VALUE!</v>
      </c>
    </row>
    <row r="16" spans="1:28" x14ac:dyDescent="0.35">
      <c r="A16" s="71"/>
      <c r="B16" s="91" t="str">
        <f>IF(고객요구사항도출표!D17="","",고객요구사항도출표!E17)</f>
        <v/>
      </c>
      <c r="C16" s="92" t="str">
        <f>IF(고객요구사항도출표!E17="","",고객요구사항도출표!D17)</f>
        <v/>
      </c>
      <c r="D16" s="93" t="str">
        <f>IF(고객요구사항도출표!C17="","",고객요구사항도출표!C17)</f>
        <v/>
      </c>
      <c r="E16" s="94"/>
      <c r="F16" s="94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84" t="str">
        <f>IF('만족계수 그래프'!G17=0, "",'만족계수 그래프'!G17)</f>
        <v/>
      </c>
      <c r="U16" s="85" t="e">
        <f t="shared" si="3"/>
        <v>#VALUE!</v>
      </c>
      <c r="V16" s="86"/>
      <c r="W16" s="86"/>
      <c r="X16" s="96">
        <f t="shared" si="0"/>
        <v>0</v>
      </c>
      <c r="Y16" s="97" t="e">
        <f t="shared" si="1"/>
        <v>#DIV/0!</v>
      </c>
      <c r="Z16" s="89" t="e">
        <f t="shared" si="4"/>
        <v>#VALUE!</v>
      </c>
      <c r="AA16" s="89" t="e">
        <f t="shared" si="2"/>
        <v>#VALUE!</v>
      </c>
      <c r="AB16" s="90" t="e">
        <f t="shared" si="5"/>
        <v>#VALUE!</v>
      </c>
    </row>
    <row r="17" spans="1:28" x14ac:dyDescent="0.35">
      <c r="A17" s="71"/>
      <c r="B17" s="91" t="str">
        <f>IF(고객요구사항도출표!D18="","",고객요구사항도출표!E18)</f>
        <v/>
      </c>
      <c r="C17" s="92" t="str">
        <f>IF(고객요구사항도출표!E18="","",고객요구사항도출표!D18)</f>
        <v/>
      </c>
      <c r="D17" s="93" t="str">
        <f>IF(고객요구사항도출표!C18="","",고객요구사항도출표!C18)</f>
        <v/>
      </c>
      <c r="E17" s="94"/>
      <c r="F17" s="94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84" t="str">
        <f>IF('만족계수 그래프'!G18=0, "",'만족계수 그래프'!G18)</f>
        <v/>
      </c>
      <c r="U17" s="85" t="e">
        <f t="shared" si="3"/>
        <v>#VALUE!</v>
      </c>
      <c r="V17" s="86"/>
      <c r="W17" s="86"/>
      <c r="X17" s="96">
        <f t="shared" si="0"/>
        <v>0</v>
      </c>
      <c r="Y17" s="97" t="e">
        <f t="shared" si="1"/>
        <v>#DIV/0!</v>
      </c>
      <c r="Z17" s="89" t="e">
        <f t="shared" si="4"/>
        <v>#VALUE!</v>
      </c>
      <c r="AA17" s="89" t="e">
        <f t="shared" si="2"/>
        <v>#VALUE!</v>
      </c>
      <c r="AB17" s="90" t="e">
        <f t="shared" si="5"/>
        <v>#VALUE!</v>
      </c>
    </row>
    <row r="18" spans="1:28" x14ac:dyDescent="0.35">
      <c r="A18" s="71"/>
      <c r="B18" s="91" t="str">
        <f>IF(고객요구사항도출표!D19="","",고객요구사항도출표!E19)</f>
        <v/>
      </c>
      <c r="C18" s="92" t="str">
        <f>IF(고객요구사항도출표!E19="","",고객요구사항도출표!D19)</f>
        <v/>
      </c>
      <c r="D18" s="93" t="str">
        <f>IF(고객요구사항도출표!C19="","",고객요구사항도출표!C19)</f>
        <v/>
      </c>
      <c r="E18" s="94"/>
      <c r="F18" s="94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84" t="str">
        <f>IF('만족계수 그래프'!G19=0, "",'만족계수 그래프'!G19)</f>
        <v/>
      </c>
      <c r="U18" s="85" t="e">
        <f t="shared" si="3"/>
        <v>#VALUE!</v>
      </c>
      <c r="V18" s="86"/>
      <c r="W18" s="86"/>
      <c r="X18" s="96">
        <f t="shared" si="0"/>
        <v>0</v>
      </c>
      <c r="Y18" s="97" t="e">
        <f t="shared" si="1"/>
        <v>#DIV/0!</v>
      </c>
      <c r="Z18" s="89" t="e">
        <f t="shared" si="4"/>
        <v>#VALUE!</v>
      </c>
      <c r="AA18" s="89" t="e">
        <f t="shared" si="2"/>
        <v>#VALUE!</v>
      </c>
      <c r="AB18" s="90" t="e">
        <f t="shared" si="5"/>
        <v>#VALUE!</v>
      </c>
    </row>
    <row r="19" spans="1:28" x14ac:dyDescent="0.35">
      <c r="A19" s="71"/>
      <c r="B19" s="91" t="str">
        <f>IF(고객요구사항도출표!D20="","",고객요구사항도출표!E20)</f>
        <v/>
      </c>
      <c r="C19" s="92" t="str">
        <f>IF(고객요구사항도출표!E20="","",고객요구사항도출표!D20)</f>
        <v/>
      </c>
      <c r="D19" s="93" t="str">
        <f>IF(고객요구사항도출표!C20="","",고객요구사항도출표!C20)</f>
        <v/>
      </c>
      <c r="E19" s="94"/>
      <c r="F19" s="94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84" t="str">
        <f>IF('만족계수 그래프'!G20=0, "",'만족계수 그래프'!G20)</f>
        <v/>
      </c>
      <c r="U19" s="85" t="e">
        <f t="shared" si="3"/>
        <v>#VALUE!</v>
      </c>
      <c r="V19" s="86"/>
      <c r="W19" s="86"/>
      <c r="X19" s="96">
        <f t="shared" si="0"/>
        <v>0</v>
      </c>
      <c r="Y19" s="97" t="e">
        <f t="shared" si="1"/>
        <v>#DIV/0!</v>
      </c>
      <c r="Z19" s="89" t="e">
        <f t="shared" si="4"/>
        <v>#VALUE!</v>
      </c>
      <c r="AA19" s="89" t="e">
        <f t="shared" si="2"/>
        <v>#VALUE!</v>
      </c>
      <c r="AB19" s="90" t="e">
        <f t="shared" si="5"/>
        <v>#VALUE!</v>
      </c>
    </row>
    <row r="20" spans="1:28" x14ac:dyDescent="0.35">
      <c r="A20" s="71"/>
      <c r="B20" s="91" t="str">
        <f>IF(고객요구사항도출표!D21="","",고객요구사항도출표!E21)</f>
        <v/>
      </c>
      <c r="C20" s="92" t="str">
        <f>IF(고객요구사항도출표!E21="","",고객요구사항도출표!D21)</f>
        <v/>
      </c>
      <c r="D20" s="93" t="str">
        <f>IF(고객요구사항도출표!C21="","",고객요구사항도출표!C21)</f>
        <v/>
      </c>
      <c r="E20" s="94"/>
      <c r="F20" s="94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84" t="str">
        <f>IF('만족계수 그래프'!G21=0, "",'만족계수 그래프'!G21)</f>
        <v/>
      </c>
      <c r="U20" s="85" t="e">
        <f t="shared" si="3"/>
        <v>#VALUE!</v>
      </c>
      <c r="V20" s="86"/>
      <c r="W20" s="86"/>
      <c r="X20" s="96">
        <f t="shared" si="0"/>
        <v>0</v>
      </c>
      <c r="Y20" s="97" t="e">
        <f t="shared" si="1"/>
        <v>#DIV/0!</v>
      </c>
      <c r="Z20" s="89" t="e">
        <f t="shared" si="4"/>
        <v>#VALUE!</v>
      </c>
      <c r="AA20" s="89" t="e">
        <f t="shared" si="2"/>
        <v>#VALUE!</v>
      </c>
      <c r="AB20" s="90" t="e">
        <f t="shared" si="5"/>
        <v>#VALUE!</v>
      </c>
    </row>
    <row r="21" spans="1:28" x14ac:dyDescent="0.35">
      <c r="A21" s="68"/>
      <c r="B21" s="91" t="str">
        <f>IF(고객요구사항도출표!D22="","",고객요구사항도출표!E22)</f>
        <v/>
      </c>
      <c r="C21" s="92" t="str">
        <f>IF(고객요구사항도출표!E22="","",고객요구사항도출표!D22)</f>
        <v/>
      </c>
      <c r="D21" s="93" t="str">
        <f>IF(고객요구사항도출표!C22="","",고객요구사항도출표!C22)</f>
        <v/>
      </c>
      <c r="E21" s="94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84" t="str">
        <f>IF('만족계수 그래프'!G22=0, "",'만족계수 그래프'!G22)</f>
        <v/>
      </c>
      <c r="U21" s="85" t="e">
        <f t="shared" si="3"/>
        <v>#VALUE!</v>
      </c>
      <c r="V21" s="86"/>
      <c r="W21" s="86"/>
      <c r="X21" s="96">
        <f t="shared" si="0"/>
        <v>0</v>
      </c>
      <c r="Y21" s="97" t="e">
        <f t="shared" si="1"/>
        <v>#DIV/0!</v>
      </c>
      <c r="Z21" s="89" t="e">
        <f t="shared" si="4"/>
        <v>#VALUE!</v>
      </c>
      <c r="AA21" s="89" t="e">
        <f t="shared" si="2"/>
        <v>#VALUE!</v>
      </c>
      <c r="AB21" s="90" t="e">
        <f t="shared" si="5"/>
        <v>#VALUE!</v>
      </c>
    </row>
    <row r="22" spans="1:28" x14ac:dyDescent="0.35">
      <c r="A22" s="68"/>
      <c r="B22" s="91" t="str">
        <f>IF(고객요구사항도출표!D23="","",고객요구사항도출표!E23)</f>
        <v/>
      </c>
      <c r="C22" s="92" t="str">
        <f>IF(고객요구사항도출표!E23="","",고객요구사항도출표!D23)</f>
        <v/>
      </c>
      <c r="D22" s="93" t="str">
        <f>IF(고객요구사항도출표!C23="","",고객요구사항도출표!C23)</f>
        <v/>
      </c>
      <c r="E22" s="94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84" t="str">
        <f>IF('만족계수 그래프'!G23=0, "",'만족계수 그래프'!G23)</f>
        <v/>
      </c>
      <c r="U22" s="85" t="e">
        <f t="shared" si="3"/>
        <v>#VALUE!</v>
      </c>
      <c r="V22" s="86"/>
      <c r="W22" s="86"/>
      <c r="X22" s="96">
        <f t="shared" si="0"/>
        <v>0</v>
      </c>
      <c r="Y22" s="97" t="e">
        <f t="shared" si="1"/>
        <v>#DIV/0!</v>
      </c>
      <c r="Z22" s="89" t="e">
        <f t="shared" si="4"/>
        <v>#VALUE!</v>
      </c>
      <c r="AA22" s="89" t="e">
        <f t="shared" si="2"/>
        <v>#VALUE!</v>
      </c>
      <c r="AB22" s="90" t="e">
        <f t="shared" si="5"/>
        <v>#VALUE!</v>
      </c>
    </row>
    <row r="23" spans="1:28" x14ac:dyDescent="0.35">
      <c r="A23" s="68"/>
      <c r="B23" s="91" t="str">
        <f>IF(고객요구사항도출표!D24="","",고객요구사항도출표!E24)</f>
        <v/>
      </c>
      <c r="C23" s="92" t="str">
        <f>IF(고객요구사항도출표!E24="","",고객요구사항도출표!D24)</f>
        <v/>
      </c>
      <c r="D23" s="93" t="str">
        <f>IF(고객요구사항도출표!C24="","",고객요구사항도출표!C24)</f>
        <v/>
      </c>
      <c r="E23" s="94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84" t="str">
        <f>IF('만족계수 그래프'!G24=0, "",'만족계수 그래프'!G24)</f>
        <v/>
      </c>
      <c r="U23" s="85" t="e">
        <f t="shared" si="3"/>
        <v>#VALUE!</v>
      </c>
      <c r="V23" s="86"/>
      <c r="W23" s="86"/>
      <c r="X23" s="96">
        <f t="shared" si="0"/>
        <v>0</v>
      </c>
      <c r="Y23" s="97" t="e">
        <f t="shared" si="1"/>
        <v>#DIV/0!</v>
      </c>
      <c r="Z23" s="89" t="e">
        <f t="shared" si="4"/>
        <v>#VALUE!</v>
      </c>
      <c r="AA23" s="89" t="e">
        <f t="shared" si="2"/>
        <v>#VALUE!</v>
      </c>
      <c r="AB23" s="90" t="e">
        <f t="shared" si="5"/>
        <v>#VALUE!</v>
      </c>
    </row>
    <row r="24" spans="1:28" x14ac:dyDescent="0.35">
      <c r="A24" s="68"/>
      <c r="B24" s="91" t="str">
        <f>IF(고객요구사항도출표!D25="","",고객요구사항도출표!E25)</f>
        <v/>
      </c>
      <c r="C24" s="92" t="str">
        <f>IF(고객요구사항도출표!E25="","",고객요구사항도출표!D25)</f>
        <v/>
      </c>
      <c r="D24" s="93" t="str">
        <f>IF(고객요구사항도출표!C25="","",고객요구사항도출표!C25)</f>
        <v/>
      </c>
      <c r="E24" s="94"/>
      <c r="F24" s="95"/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84" t="str">
        <f>IF('만족계수 그래프'!G25=0, "",'만족계수 그래프'!G25)</f>
        <v/>
      </c>
      <c r="U24" s="85" t="e">
        <f t="shared" si="3"/>
        <v>#VALUE!</v>
      </c>
      <c r="V24" s="86"/>
      <c r="W24" s="86"/>
      <c r="X24" s="96">
        <f t="shared" si="0"/>
        <v>0</v>
      </c>
      <c r="Y24" s="97" t="e">
        <f t="shared" si="1"/>
        <v>#DIV/0!</v>
      </c>
      <c r="Z24" s="89" t="e">
        <f t="shared" si="4"/>
        <v>#VALUE!</v>
      </c>
      <c r="AA24" s="89" t="e">
        <f t="shared" si="2"/>
        <v>#VALUE!</v>
      </c>
      <c r="AB24" s="90" t="e">
        <f t="shared" si="5"/>
        <v>#VALUE!</v>
      </c>
    </row>
    <row r="25" spans="1:28" x14ac:dyDescent="0.35">
      <c r="A25" s="68"/>
      <c r="B25" s="91" t="str">
        <f>IF(고객요구사항도출표!D26="","",고객요구사항도출표!E26)</f>
        <v/>
      </c>
      <c r="C25" s="92" t="str">
        <f>IF(고객요구사항도출표!E26="","",고객요구사항도출표!D26)</f>
        <v/>
      </c>
      <c r="D25" s="93" t="str">
        <f>IF(고객요구사항도출표!C26="","",고객요구사항도출표!C26)</f>
        <v/>
      </c>
      <c r="E25" s="94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84" t="str">
        <f>IF('만족계수 그래프'!G26=0, "",'만족계수 그래프'!G26)</f>
        <v/>
      </c>
      <c r="U25" s="85" t="e">
        <f t="shared" si="3"/>
        <v>#VALUE!</v>
      </c>
      <c r="V25" s="86"/>
      <c r="W25" s="86"/>
      <c r="X25" s="96">
        <f t="shared" si="0"/>
        <v>0</v>
      </c>
      <c r="Y25" s="97" t="e">
        <f t="shared" si="1"/>
        <v>#DIV/0!</v>
      </c>
      <c r="Z25" s="89" t="e">
        <f t="shared" si="4"/>
        <v>#VALUE!</v>
      </c>
      <c r="AA25" s="89" t="e">
        <f t="shared" si="2"/>
        <v>#VALUE!</v>
      </c>
      <c r="AB25" s="90" t="e">
        <f t="shared" si="5"/>
        <v>#VALUE!</v>
      </c>
    </row>
    <row r="26" spans="1:28" x14ac:dyDescent="0.35">
      <c r="A26" s="68"/>
      <c r="B26" s="91" t="str">
        <f>IF(고객요구사항도출표!D27="","",고객요구사항도출표!E27)</f>
        <v/>
      </c>
      <c r="C26" s="92" t="str">
        <f>IF(고객요구사항도출표!E27="","",고객요구사항도출표!D27)</f>
        <v/>
      </c>
      <c r="D26" s="93" t="str">
        <f>IF(고객요구사항도출표!C27="","",고객요구사항도출표!C27)</f>
        <v/>
      </c>
      <c r="E26" s="94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84" t="str">
        <f>IF('만족계수 그래프'!G27=0, "",'만족계수 그래프'!G27)</f>
        <v/>
      </c>
      <c r="U26" s="85" t="e">
        <f t="shared" si="3"/>
        <v>#VALUE!</v>
      </c>
      <c r="V26" s="86"/>
      <c r="W26" s="86"/>
      <c r="X26" s="96">
        <f t="shared" si="0"/>
        <v>0</v>
      </c>
      <c r="Y26" s="97" t="e">
        <f t="shared" si="1"/>
        <v>#DIV/0!</v>
      </c>
      <c r="Z26" s="89" t="e">
        <f t="shared" si="4"/>
        <v>#VALUE!</v>
      </c>
      <c r="AA26" s="89" t="e">
        <f t="shared" si="2"/>
        <v>#VALUE!</v>
      </c>
      <c r="AB26" s="90" t="e">
        <f t="shared" si="5"/>
        <v>#VALUE!</v>
      </c>
    </row>
    <row r="27" spans="1:28" x14ac:dyDescent="0.35">
      <c r="A27" s="68"/>
      <c r="B27" s="91" t="str">
        <f>IF(고객요구사항도출표!D28="","",고객요구사항도출표!E28)</f>
        <v/>
      </c>
      <c r="C27" s="92" t="str">
        <f>IF(고객요구사항도출표!E28="","",고객요구사항도출표!D28)</f>
        <v/>
      </c>
      <c r="D27" s="93" t="str">
        <f>IF(고객요구사항도출표!C28="","",고객요구사항도출표!C28)</f>
        <v/>
      </c>
      <c r="E27" s="94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84" t="str">
        <f>IF('만족계수 그래프'!G28=0, "",'만족계수 그래프'!G28)</f>
        <v/>
      </c>
      <c r="U27" s="85" t="e">
        <f t="shared" si="3"/>
        <v>#VALUE!</v>
      </c>
      <c r="V27" s="86"/>
      <c r="W27" s="86"/>
      <c r="X27" s="96">
        <f t="shared" si="0"/>
        <v>0</v>
      </c>
      <c r="Y27" s="97" t="e">
        <f t="shared" si="1"/>
        <v>#DIV/0!</v>
      </c>
      <c r="Z27" s="89" t="e">
        <f t="shared" si="4"/>
        <v>#VALUE!</v>
      </c>
      <c r="AA27" s="89" t="e">
        <f t="shared" si="2"/>
        <v>#VALUE!</v>
      </c>
      <c r="AB27" s="90" t="e">
        <f t="shared" si="5"/>
        <v>#VALUE!</v>
      </c>
    </row>
    <row r="28" spans="1:28" x14ac:dyDescent="0.35">
      <c r="A28" s="68"/>
      <c r="B28" s="91" t="str">
        <f>IF(고객요구사항도출표!D29="","",고객요구사항도출표!E29)</f>
        <v/>
      </c>
      <c r="C28" s="92" t="str">
        <f>IF(고객요구사항도출표!E29="","",고객요구사항도출표!D29)</f>
        <v/>
      </c>
      <c r="D28" s="93" t="str">
        <f>IF(고객요구사항도출표!C29="","",고객요구사항도출표!C29)</f>
        <v/>
      </c>
      <c r="E28" s="94"/>
      <c r="F28" s="95"/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84" t="str">
        <f>IF('만족계수 그래프'!G29=0, "",'만족계수 그래프'!G29)</f>
        <v/>
      </c>
      <c r="U28" s="85" t="e">
        <f t="shared" si="3"/>
        <v>#VALUE!</v>
      </c>
      <c r="V28" s="86"/>
      <c r="W28" s="86"/>
      <c r="X28" s="96">
        <f t="shared" si="0"/>
        <v>0</v>
      </c>
      <c r="Y28" s="97" t="e">
        <f t="shared" si="1"/>
        <v>#DIV/0!</v>
      </c>
      <c r="Z28" s="89" t="e">
        <f t="shared" si="4"/>
        <v>#VALUE!</v>
      </c>
      <c r="AA28" s="89" t="e">
        <f t="shared" si="2"/>
        <v>#VALUE!</v>
      </c>
      <c r="AB28" s="90" t="e">
        <f t="shared" si="5"/>
        <v>#VALUE!</v>
      </c>
    </row>
    <row r="29" spans="1:28" x14ac:dyDescent="0.35">
      <c r="A29" s="68"/>
      <c r="B29" s="91" t="str">
        <f>IF(고객요구사항도출표!D30="","",고객요구사항도출표!E30)</f>
        <v/>
      </c>
      <c r="C29" s="92" t="str">
        <f>IF(고객요구사항도출표!E30="","",고객요구사항도출표!D30)</f>
        <v/>
      </c>
      <c r="D29" s="93" t="str">
        <f>IF(고객요구사항도출표!C30="","",고객요구사항도출표!C30)</f>
        <v/>
      </c>
      <c r="E29" s="94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84" t="str">
        <f>IF('만족계수 그래프'!G30=0, "",'만족계수 그래프'!G30)</f>
        <v/>
      </c>
      <c r="U29" s="85" t="e">
        <f t="shared" si="3"/>
        <v>#VALUE!</v>
      </c>
      <c r="V29" s="86"/>
      <c r="W29" s="86"/>
      <c r="X29" s="96">
        <f t="shared" si="0"/>
        <v>0</v>
      </c>
      <c r="Y29" s="97" t="e">
        <f t="shared" si="1"/>
        <v>#DIV/0!</v>
      </c>
      <c r="Z29" s="89" t="e">
        <f t="shared" si="4"/>
        <v>#VALUE!</v>
      </c>
      <c r="AA29" s="89" t="e">
        <f t="shared" si="2"/>
        <v>#VALUE!</v>
      </c>
      <c r="AB29" s="90" t="e">
        <f t="shared" si="5"/>
        <v>#VALUE!</v>
      </c>
    </row>
    <row r="30" spans="1:28" x14ac:dyDescent="0.35">
      <c r="A30" s="68"/>
      <c r="B30" s="91" t="str">
        <f>IF(고객요구사항도출표!D31="","",고객요구사항도출표!E31)</f>
        <v/>
      </c>
      <c r="C30" s="92" t="str">
        <f>IF(고객요구사항도출표!E31="","",고객요구사항도출표!D31)</f>
        <v/>
      </c>
      <c r="D30" s="93" t="str">
        <f>IF(고객요구사항도출표!C31="","",고객요구사항도출표!C31)</f>
        <v/>
      </c>
      <c r="E30" s="94"/>
      <c r="F30" s="95"/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84" t="str">
        <f>IF('만족계수 그래프'!G31=0, "",'만족계수 그래프'!G31)</f>
        <v/>
      </c>
      <c r="U30" s="85" t="e">
        <f t="shared" si="3"/>
        <v>#VALUE!</v>
      </c>
      <c r="V30" s="86"/>
      <c r="W30" s="86"/>
      <c r="X30" s="96">
        <f t="shared" si="0"/>
        <v>0</v>
      </c>
      <c r="Y30" s="97" t="e">
        <f t="shared" si="1"/>
        <v>#DIV/0!</v>
      </c>
      <c r="Z30" s="89" t="e">
        <f t="shared" si="4"/>
        <v>#VALUE!</v>
      </c>
      <c r="AA30" s="89" t="e">
        <f t="shared" si="2"/>
        <v>#VALUE!</v>
      </c>
      <c r="AB30" s="90" t="e">
        <f t="shared" si="5"/>
        <v>#VALUE!</v>
      </c>
    </row>
    <row r="31" spans="1:28" ht="16.5" customHeight="1" thickBot="1" x14ac:dyDescent="0.4">
      <c r="A31" s="68"/>
      <c r="B31" s="91" t="str">
        <f>IF(고객요구사항도출표!D32="","",고객요구사항도출표!E32)</f>
        <v/>
      </c>
      <c r="C31" s="92" t="str">
        <f>IF(고객요구사항도출표!E32="","",고객요구사항도출표!D32)</f>
        <v/>
      </c>
      <c r="D31" s="93" t="str">
        <f>IF(고객요구사항도출표!C32="","",고객요구사항도출표!C32)</f>
        <v/>
      </c>
      <c r="E31" s="94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84" t="str">
        <f>IF('만족계수 그래프'!G32=0, "",'만족계수 그래프'!G32)</f>
        <v/>
      </c>
      <c r="U31" s="85" t="e">
        <f t="shared" si="3"/>
        <v>#VALUE!</v>
      </c>
      <c r="V31" s="86"/>
      <c r="W31" s="86"/>
      <c r="X31" s="96">
        <f t="shared" si="0"/>
        <v>0</v>
      </c>
      <c r="Y31" s="97" t="e">
        <f t="shared" si="1"/>
        <v>#DIV/0!</v>
      </c>
      <c r="Z31" s="89" t="e">
        <f t="shared" si="4"/>
        <v>#VALUE!</v>
      </c>
      <c r="AA31" s="89" t="e">
        <f t="shared" si="2"/>
        <v>#VALUE!</v>
      </c>
      <c r="AB31" s="90" t="e">
        <f t="shared" si="5"/>
        <v>#VALUE!</v>
      </c>
    </row>
    <row r="32" spans="1:28" ht="18" thickBot="1" x14ac:dyDescent="0.4">
      <c r="A32" s="68"/>
      <c r="B32" s="98"/>
      <c r="C32" s="288" t="s">
        <v>109</v>
      </c>
      <c r="D32" s="289"/>
      <c r="E32" s="99" t="str">
        <f>IF(SUMPRODUCT(E4:E31,$T4:$T31)=0,"",SUMPRODUCT(E4:E31,$T4:$T31))</f>
        <v/>
      </c>
      <c r="F32" s="99" t="str">
        <f t="shared" ref="F32:S32" si="6">IF(SUMPRODUCT(F4:F31,$T4:$T31)=0,"",SUMPRODUCT(F4:F31,$T4:$T31))</f>
        <v/>
      </c>
      <c r="G32" s="99" t="str">
        <f t="shared" si="6"/>
        <v/>
      </c>
      <c r="H32" s="99" t="str">
        <f t="shared" si="6"/>
        <v/>
      </c>
      <c r="I32" s="99" t="str">
        <f t="shared" si="6"/>
        <v/>
      </c>
      <c r="J32" s="99" t="str">
        <f t="shared" si="6"/>
        <v/>
      </c>
      <c r="K32" s="99" t="str">
        <f t="shared" si="6"/>
        <v/>
      </c>
      <c r="L32" s="99" t="str">
        <f t="shared" si="6"/>
        <v/>
      </c>
      <c r="M32" s="99" t="str">
        <f t="shared" si="6"/>
        <v/>
      </c>
      <c r="N32" s="99" t="str">
        <f t="shared" si="6"/>
        <v/>
      </c>
      <c r="O32" s="99" t="str">
        <f t="shared" si="6"/>
        <v/>
      </c>
      <c r="P32" s="99" t="str">
        <f t="shared" si="6"/>
        <v/>
      </c>
      <c r="Q32" s="99" t="str">
        <f t="shared" si="6"/>
        <v/>
      </c>
      <c r="R32" s="99" t="str">
        <f t="shared" si="6"/>
        <v/>
      </c>
      <c r="S32" s="99" t="str">
        <f t="shared" si="6"/>
        <v/>
      </c>
      <c r="T32" s="100">
        <f>SUM(T4:T31)</f>
        <v>0</v>
      </c>
      <c r="U32" s="101" t="e">
        <f>SUM(U4:U31)</f>
        <v>#VALUE!</v>
      </c>
      <c r="V32" s="102"/>
      <c r="W32" s="102"/>
      <c r="X32" s="103"/>
      <c r="Y32" s="104"/>
      <c r="Z32" s="105" t="e">
        <f>SUM(Z4:Z31)</f>
        <v>#VALUE!</v>
      </c>
      <c r="AA32" s="106" t="e">
        <f>SUM(AA4:AA31)</f>
        <v>#VALUE!</v>
      </c>
      <c r="AB32" s="107"/>
    </row>
    <row r="33" spans="1:28" ht="18" thickBot="1" x14ac:dyDescent="0.4">
      <c r="A33" s="68"/>
      <c r="B33" s="98"/>
      <c r="C33" s="108"/>
      <c r="D33" s="109" t="s">
        <v>101</v>
      </c>
      <c r="E33" s="110" t="e">
        <f>RANK(E32,$E$32:$S$32)</f>
        <v>#VALUE!</v>
      </c>
      <c r="F33" s="110" t="e">
        <f t="shared" ref="F33:S33" si="7">RANK(F32,$E$32:$S$32)</f>
        <v>#VALUE!</v>
      </c>
      <c r="G33" s="110" t="e">
        <f t="shared" si="7"/>
        <v>#VALUE!</v>
      </c>
      <c r="H33" s="110" t="e">
        <f t="shared" si="7"/>
        <v>#VALUE!</v>
      </c>
      <c r="I33" s="110" t="e">
        <f t="shared" si="7"/>
        <v>#VALUE!</v>
      </c>
      <c r="J33" s="110" t="e">
        <f t="shared" si="7"/>
        <v>#VALUE!</v>
      </c>
      <c r="K33" s="110" t="e">
        <f t="shared" si="7"/>
        <v>#VALUE!</v>
      </c>
      <c r="L33" s="110" t="e">
        <f t="shared" si="7"/>
        <v>#VALUE!</v>
      </c>
      <c r="M33" s="110" t="e">
        <f t="shared" si="7"/>
        <v>#VALUE!</v>
      </c>
      <c r="N33" s="110" t="e">
        <f t="shared" si="7"/>
        <v>#VALUE!</v>
      </c>
      <c r="O33" s="110" t="e">
        <f t="shared" si="7"/>
        <v>#VALUE!</v>
      </c>
      <c r="P33" s="110" t="e">
        <f t="shared" si="7"/>
        <v>#VALUE!</v>
      </c>
      <c r="Q33" s="110" t="e">
        <f t="shared" si="7"/>
        <v>#VALUE!</v>
      </c>
      <c r="R33" s="110" t="e">
        <f t="shared" si="7"/>
        <v>#VALUE!</v>
      </c>
      <c r="S33" s="110" t="e">
        <f t="shared" si="7"/>
        <v>#VALUE!</v>
      </c>
      <c r="T33" s="111"/>
      <c r="U33" s="112"/>
      <c r="V33" s="111"/>
      <c r="W33" s="111"/>
      <c r="X33" s="113"/>
      <c r="Y33" s="113"/>
      <c r="Z33" s="114"/>
      <c r="AA33" s="115"/>
      <c r="AB33" s="113"/>
    </row>
    <row r="34" spans="1:28" x14ac:dyDescent="0.4">
      <c r="A34" s="71"/>
      <c r="B34" s="98"/>
      <c r="C34" s="290" t="s">
        <v>110</v>
      </c>
      <c r="D34" s="116" t="s">
        <v>111</v>
      </c>
      <c r="E34" s="117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</row>
    <row r="35" spans="1:28" x14ac:dyDescent="0.4">
      <c r="A35" s="68"/>
      <c r="B35" s="119"/>
      <c r="C35" s="291"/>
      <c r="D35" s="120" t="s">
        <v>107</v>
      </c>
      <c r="E35" s="121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</row>
    <row r="36" spans="1:28" ht="18" thickBot="1" x14ac:dyDescent="0.45">
      <c r="A36" s="68"/>
      <c r="B36" s="119"/>
      <c r="C36" s="291"/>
      <c r="D36" s="123" t="s">
        <v>112</v>
      </c>
      <c r="E36" s="124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</row>
    <row r="37" spans="1:28" ht="18" thickBot="1" x14ac:dyDescent="0.45">
      <c r="A37" s="68"/>
      <c r="B37" s="119"/>
      <c r="C37" s="292" t="s">
        <v>113</v>
      </c>
      <c r="D37" s="293"/>
      <c r="E37" s="126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27"/>
      <c r="Q37" s="127"/>
      <c r="R37" s="127"/>
      <c r="S37" s="127"/>
      <c r="T37" s="127"/>
      <c r="U37" s="127"/>
      <c r="V37" s="127"/>
      <c r="W37" s="127"/>
      <c r="X37" s="127"/>
      <c r="Y37" s="127"/>
      <c r="Z37" s="127"/>
      <c r="AA37" s="127"/>
      <c r="AB37" s="127"/>
    </row>
    <row r="38" spans="1:28" x14ac:dyDescent="0.4">
      <c r="A38" s="68"/>
      <c r="B38" s="119"/>
      <c r="C38" s="119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</row>
    <row r="39" spans="1:28" x14ac:dyDescent="0.4">
      <c r="A39" s="68"/>
      <c r="B39" s="119"/>
      <c r="C39" s="119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</row>
    <row r="40" spans="1:28" x14ac:dyDescent="0.4">
      <c r="A40" s="68"/>
      <c r="B40" s="119"/>
      <c r="C40" s="119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</row>
    <row r="41" spans="1:28" x14ac:dyDescent="0.4">
      <c r="A41" s="68"/>
      <c r="B41" s="119"/>
      <c r="C41" s="119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</row>
  </sheetData>
  <mergeCells count="15">
    <mergeCell ref="Y2:Y3"/>
    <mergeCell ref="Z2:Z3"/>
    <mergeCell ref="AA2:AA3"/>
    <mergeCell ref="AB2:AB3"/>
    <mergeCell ref="B2:D2"/>
    <mergeCell ref="E2:G2"/>
    <mergeCell ref="H2:J2"/>
    <mergeCell ref="K2:M2"/>
    <mergeCell ref="N2:P2"/>
    <mergeCell ref="Q2:S2"/>
    <mergeCell ref="C32:D32"/>
    <mergeCell ref="C34:C36"/>
    <mergeCell ref="C37:D37"/>
    <mergeCell ref="V2:W2"/>
    <mergeCell ref="X2:X3"/>
  </mergeCells>
  <phoneticPr fontId="6" type="noConversion"/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E19"/>
  <sheetViews>
    <sheetView workbookViewId="0">
      <selection activeCell="G14" sqref="G14"/>
    </sheetView>
  </sheetViews>
  <sheetFormatPr defaultRowHeight="17.399999999999999" x14ac:dyDescent="0.4"/>
  <cols>
    <col min="3" max="3" width="33.19921875" customWidth="1"/>
    <col min="4" max="4" width="32" customWidth="1"/>
    <col min="5" max="5" width="28.69921875" customWidth="1"/>
  </cols>
  <sheetData>
    <row r="2" spans="2:5" ht="27.75" customHeight="1" x14ac:dyDescent="0.4">
      <c r="B2" s="309" t="s">
        <v>188</v>
      </c>
      <c r="C2" s="310"/>
      <c r="D2" s="310"/>
      <c r="E2" s="310"/>
    </row>
    <row r="3" spans="2:5" ht="27.75" customHeight="1" x14ac:dyDescent="0.4"/>
    <row r="4" spans="2:5" ht="27.75" customHeight="1" x14ac:dyDescent="0.4">
      <c r="B4" s="248" t="s">
        <v>189</v>
      </c>
      <c r="C4" s="249" t="s">
        <v>190</v>
      </c>
      <c r="D4" s="249" t="s">
        <v>191</v>
      </c>
      <c r="E4" s="249" t="s">
        <v>192</v>
      </c>
    </row>
    <row r="5" spans="2:5" ht="27.75" customHeight="1" x14ac:dyDescent="0.4">
      <c r="B5" s="175">
        <v>1</v>
      </c>
      <c r="C5" s="175"/>
      <c r="D5" s="175"/>
      <c r="E5" s="175"/>
    </row>
    <row r="6" spans="2:5" ht="27.75" customHeight="1" x14ac:dyDescent="0.4">
      <c r="B6" s="175">
        <v>2</v>
      </c>
      <c r="C6" s="175"/>
      <c r="D6" s="175"/>
      <c r="E6" s="175"/>
    </row>
    <row r="7" spans="2:5" ht="27.75" customHeight="1" x14ac:dyDescent="0.4">
      <c r="B7" s="175">
        <v>3</v>
      </c>
      <c r="C7" s="175"/>
      <c r="D7" s="175"/>
      <c r="E7" s="175"/>
    </row>
    <row r="8" spans="2:5" ht="27.75" customHeight="1" x14ac:dyDescent="0.4">
      <c r="B8" s="175">
        <v>4</v>
      </c>
      <c r="C8" s="175"/>
      <c r="D8" s="175"/>
      <c r="E8" s="175"/>
    </row>
    <row r="9" spans="2:5" ht="27.75" customHeight="1" x14ac:dyDescent="0.4">
      <c r="B9" s="175">
        <v>5</v>
      </c>
      <c r="C9" s="175"/>
      <c r="D9" s="175"/>
      <c r="E9" s="175"/>
    </row>
    <row r="10" spans="2:5" ht="27.75" customHeight="1" x14ac:dyDescent="0.4"/>
    <row r="11" spans="2:5" ht="27.75" customHeight="1" x14ac:dyDescent="0.4">
      <c r="B11" s="266" t="s">
        <v>193</v>
      </c>
      <c r="C11" s="266"/>
      <c r="D11" s="266"/>
      <c r="E11" s="266"/>
    </row>
    <row r="12" spans="2:5" ht="27.75" customHeight="1" x14ac:dyDescent="0.4"/>
    <row r="13" spans="2:5" ht="27.75" customHeight="1" x14ac:dyDescent="0.4">
      <c r="B13" s="248" t="s">
        <v>189</v>
      </c>
      <c r="C13" s="249" t="s">
        <v>194</v>
      </c>
      <c r="D13" s="249" t="s">
        <v>187</v>
      </c>
      <c r="E13" s="249" t="s">
        <v>195</v>
      </c>
    </row>
    <row r="14" spans="2:5" ht="27.75" customHeight="1" x14ac:dyDescent="0.4">
      <c r="B14" s="175">
        <v>1</v>
      </c>
      <c r="C14" s="5">
        <f>C5</f>
        <v>0</v>
      </c>
      <c r="D14" s="5"/>
      <c r="E14" s="5"/>
    </row>
    <row r="15" spans="2:5" ht="27.75" customHeight="1" x14ac:dyDescent="0.4">
      <c r="B15" s="175">
        <v>2</v>
      </c>
      <c r="C15" s="5">
        <f t="shared" ref="C15:C18" si="0">C6</f>
        <v>0</v>
      </c>
      <c r="D15" s="5"/>
      <c r="E15" s="5"/>
    </row>
    <row r="16" spans="2:5" ht="27.75" customHeight="1" x14ac:dyDescent="0.4">
      <c r="B16" s="175">
        <v>3</v>
      </c>
      <c r="C16" s="5">
        <f t="shared" si="0"/>
        <v>0</v>
      </c>
      <c r="D16" s="5"/>
      <c r="E16" s="5"/>
    </row>
    <row r="17" spans="2:5" ht="27.75" customHeight="1" x14ac:dyDescent="0.4">
      <c r="B17" s="175">
        <v>4</v>
      </c>
      <c r="C17" s="5">
        <f t="shared" si="0"/>
        <v>0</v>
      </c>
      <c r="D17" s="5"/>
      <c r="E17" s="5"/>
    </row>
    <row r="18" spans="2:5" ht="27.75" customHeight="1" x14ac:dyDescent="0.4">
      <c r="B18" s="175">
        <v>5</v>
      </c>
      <c r="C18" s="5">
        <f t="shared" si="0"/>
        <v>0</v>
      </c>
      <c r="D18" s="5"/>
      <c r="E18" s="5"/>
    </row>
    <row r="19" spans="2:5" ht="30.75" customHeight="1" x14ac:dyDescent="0.4"/>
  </sheetData>
  <mergeCells count="2">
    <mergeCell ref="B2:E2"/>
    <mergeCell ref="B11:E11"/>
  </mergeCells>
  <phoneticPr fontId="6" type="noConversion"/>
  <pageMargins left="0.7" right="0.7" top="0.75" bottom="0.75" header="0.3" footer="0.3"/>
  <pageSetup paperSize="9" orientation="portrait" horizontalDpi="4294967292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E26"/>
  <sheetViews>
    <sheetView workbookViewId="0"/>
  </sheetViews>
  <sheetFormatPr defaultRowHeight="17.399999999999999" x14ac:dyDescent="0.4"/>
  <cols>
    <col min="1" max="1" width="3.19921875" customWidth="1"/>
    <col min="2" max="2" width="23.69921875" customWidth="1"/>
    <col min="3" max="3" width="30.5" customWidth="1"/>
    <col min="4" max="4" width="24.3984375" customWidth="1"/>
  </cols>
  <sheetData>
    <row r="2" spans="2:5" x14ac:dyDescent="0.4">
      <c r="B2" s="309" t="s">
        <v>120</v>
      </c>
      <c r="C2" s="310"/>
      <c r="D2" s="310"/>
      <c r="E2" s="310"/>
    </row>
    <row r="3" spans="2:5" ht="7.5" customHeight="1" x14ac:dyDescent="0.4"/>
    <row r="4" spans="2:5" x14ac:dyDescent="0.4">
      <c r="B4" s="134" t="s">
        <v>121</v>
      </c>
      <c r="C4" s="134" t="s">
        <v>122</v>
      </c>
      <c r="D4" s="134" t="s">
        <v>123</v>
      </c>
      <c r="E4" s="134" t="s">
        <v>124</v>
      </c>
    </row>
    <row r="5" spans="2:5" ht="22.5" customHeight="1" x14ac:dyDescent="0.4">
      <c r="B5" s="2"/>
      <c r="C5" s="135"/>
      <c r="D5" s="135"/>
      <c r="E5" s="5"/>
    </row>
    <row r="6" spans="2:5" ht="22.5" customHeight="1" x14ac:dyDescent="0.4">
      <c r="B6" s="2"/>
      <c r="C6" s="135"/>
      <c r="D6" s="135"/>
      <c r="E6" s="5"/>
    </row>
    <row r="7" spans="2:5" ht="22.5" customHeight="1" x14ac:dyDescent="0.4">
      <c r="B7" s="2"/>
      <c r="C7" s="135"/>
      <c r="D7" s="135"/>
      <c r="E7" s="5"/>
    </row>
    <row r="8" spans="2:5" ht="22.5" customHeight="1" x14ac:dyDescent="0.4">
      <c r="B8" s="2"/>
      <c r="C8" s="135"/>
      <c r="D8" s="135"/>
      <c r="E8" s="5"/>
    </row>
    <row r="9" spans="2:5" ht="22.5" customHeight="1" x14ac:dyDescent="0.4">
      <c r="B9" s="2"/>
      <c r="C9" s="135"/>
      <c r="D9" s="135"/>
      <c r="E9" s="5"/>
    </row>
    <row r="10" spans="2:5" ht="22.5" customHeight="1" x14ac:dyDescent="0.4">
      <c r="B10" s="2"/>
      <c r="C10" s="135"/>
      <c r="D10" s="135"/>
      <c r="E10" s="5"/>
    </row>
    <row r="11" spans="2:5" ht="22.5" customHeight="1" x14ac:dyDescent="0.4">
      <c r="B11" s="2"/>
      <c r="C11" s="135"/>
      <c r="D11" s="135"/>
      <c r="E11" s="5"/>
    </row>
    <row r="12" spans="2:5" ht="22.5" customHeight="1" x14ac:dyDescent="0.4">
      <c r="B12" s="2"/>
      <c r="C12" s="135"/>
      <c r="D12" s="135"/>
      <c r="E12" s="5"/>
    </row>
    <row r="13" spans="2:5" ht="22.5" customHeight="1" x14ac:dyDescent="0.4">
      <c r="B13" s="5"/>
      <c r="C13" s="5"/>
      <c r="D13" s="5"/>
      <c r="E13" s="5"/>
    </row>
    <row r="14" spans="2:5" ht="22.5" customHeight="1" x14ac:dyDescent="0.4">
      <c r="B14" s="5"/>
      <c r="C14" s="5"/>
      <c r="D14" s="5"/>
      <c r="E14" s="5"/>
    </row>
    <row r="15" spans="2:5" ht="22.5" customHeight="1" x14ac:dyDescent="0.4">
      <c r="B15" s="5"/>
      <c r="C15" s="5"/>
      <c r="D15" s="5"/>
      <c r="E15" s="5"/>
    </row>
    <row r="16" spans="2:5" ht="22.5" customHeight="1" x14ac:dyDescent="0.4">
      <c r="B16" s="5"/>
      <c r="C16" s="5"/>
      <c r="D16" s="5"/>
      <c r="E16" s="5"/>
    </row>
    <row r="17" spans="2:5" ht="22.5" customHeight="1" x14ac:dyDescent="0.4">
      <c r="B17" s="5"/>
      <c r="C17" s="5"/>
      <c r="D17" s="5"/>
      <c r="E17" s="5"/>
    </row>
    <row r="18" spans="2:5" ht="22.5" customHeight="1" x14ac:dyDescent="0.4">
      <c r="B18" s="5"/>
      <c r="C18" s="5"/>
      <c r="D18" s="5"/>
      <c r="E18" s="5"/>
    </row>
    <row r="19" spans="2:5" ht="22.5" customHeight="1" x14ac:dyDescent="0.4">
      <c r="B19" s="5"/>
      <c r="C19" s="5"/>
      <c r="D19" s="5"/>
      <c r="E19" s="5"/>
    </row>
    <row r="20" spans="2:5" ht="23.25" customHeight="1" x14ac:dyDescent="0.4">
      <c r="B20" s="5"/>
      <c r="C20" s="5"/>
      <c r="D20" s="5"/>
      <c r="E20" s="5"/>
    </row>
    <row r="21" spans="2:5" ht="23.25" customHeight="1" x14ac:dyDescent="0.4">
      <c r="B21" s="5"/>
      <c r="C21" s="5"/>
      <c r="D21" s="5"/>
      <c r="E21" s="5"/>
    </row>
    <row r="22" spans="2:5" ht="23.25" customHeight="1" x14ac:dyDescent="0.4">
      <c r="B22" s="5"/>
      <c r="C22" s="5"/>
      <c r="D22" s="5"/>
      <c r="E22" s="5"/>
    </row>
    <row r="23" spans="2:5" ht="24" customHeight="1" x14ac:dyDescent="0.4">
      <c r="B23" s="5"/>
      <c r="C23" s="5"/>
      <c r="D23" s="5"/>
      <c r="E23" s="5"/>
    </row>
    <row r="24" spans="2:5" ht="24" customHeight="1" x14ac:dyDescent="0.4">
      <c r="B24" s="5"/>
      <c r="C24" s="5"/>
      <c r="D24" s="5"/>
      <c r="E24" s="5"/>
    </row>
    <row r="25" spans="2:5" ht="24" customHeight="1" x14ac:dyDescent="0.4">
      <c r="B25" s="5"/>
      <c r="C25" s="5"/>
      <c r="D25" s="5"/>
      <c r="E25" s="5"/>
    </row>
    <row r="26" spans="2:5" ht="24" customHeight="1" x14ac:dyDescent="0.4">
      <c r="B26" s="5"/>
      <c r="C26" s="5"/>
      <c r="D26" s="5"/>
      <c r="E26" s="5"/>
    </row>
  </sheetData>
  <mergeCells count="1">
    <mergeCell ref="B2:E2"/>
  </mergeCells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F9"/>
  <sheetViews>
    <sheetView zoomScaleNormal="100" workbookViewId="0">
      <selection activeCell="E21" sqref="E21"/>
    </sheetView>
  </sheetViews>
  <sheetFormatPr defaultRowHeight="17.399999999999999" x14ac:dyDescent="0.4"/>
  <cols>
    <col min="2" max="2" width="6.19921875" customWidth="1"/>
    <col min="3" max="3" width="43.19921875" bestFit="1" customWidth="1"/>
    <col min="4" max="4" width="27.19921875" customWidth="1"/>
    <col min="5" max="5" width="26" customWidth="1"/>
    <col min="6" max="6" width="28.69921875" customWidth="1"/>
  </cols>
  <sheetData>
    <row r="2" spans="2:6" ht="30" customHeight="1" x14ac:dyDescent="0.4">
      <c r="B2" s="309" t="s">
        <v>196</v>
      </c>
      <c r="C2" s="310"/>
      <c r="D2" s="310"/>
      <c r="E2" s="310"/>
      <c r="F2" s="310"/>
    </row>
    <row r="3" spans="2:6" ht="30" customHeight="1" x14ac:dyDescent="0.4"/>
    <row r="4" spans="2:6" ht="30" customHeight="1" x14ac:dyDescent="0.4">
      <c r="B4" s="250" t="s">
        <v>189</v>
      </c>
      <c r="C4" s="250" t="s">
        <v>197</v>
      </c>
      <c r="D4" s="250" t="s">
        <v>198</v>
      </c>
      <c r="E4" s="250" t="s">
        <v>199</v>
      </c>
      <c r="F4" s="250" t="s">
        <v>200</v>
      </c>
    </row>
    <row r="5" spans="2:6" ht="30" customHeight="1" x14ac:dyDescent="0.4">
      <c r="B5" s="175">
        <v>1</v>
      </c>
      <c r="C5" s="5"/>
      <c r="D5" s="5"/>
      <c r="E5" s="5"/>
      <c r="F5" s="5"/>
    </row>
    <row r="6" spans="2:6" ht="30" customHeight="1" x14ac:dyDescent="0.4">
      <c r="B6" s="175">
        <v>2</v>
      </c>
      <c r="C6" s="5"/>
      <c r="D6" s="5"/>
      <c r="E6" s="5"/>
      <c r="F6" s="5"/>
    </row>
    <row r="7" spans="2:6" ht="30" customHeight="1" x14ac:dyDescent="0.4">
      <c r="B7" s="175">
        <v>3</v>
      </c>
      <c r="C7" s="5"/>
      <c r="D7" s="5"/>
      <c r="E7" s="5"/>
      <c r="F7" s="5"/>
    </row>
    <row r="8" spans="2:6" ht="30" customHeight="1" x14ac:dyDescent="0.4">
      <c r="B8" s="175">
        <v>4</v>
      </c>
      <c r="C8" s="5"/>
      <c r="D8" s="5"/>
      <c r="E8" s="5"/>
      <c r="F8" s="5"/>
    </row>
    <row r="9" spans="2:6" ht="30" customHeight="1" x14ac:dyDescent="0.4">
      <c r="B9" s="175">
        <v>5</v>
      </c>
      <c r="C9" s="5"/>
      <c r="D9" s="5"/>
      <c r="E9" s="5"/>
      <c r="F9" s="5"/>
    </row>
  </sheetData>
  <mergeCells count="1">
    <mergeCell ref="B2:F2"/>
  </mergeCells>
  <phoneticPr fontId="6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D16"/>
  <sheetViews>
    <sheetView workbookViewId="0"/>
  </sheetViews>
  <sheetFormatPr defaultRowHeight="17.399999999999999" x14ac:dyDescent="0.4"/>
  <cols>
    <col min="1" max="1" width="4.59765625" customWidth="1"/>
    <col min="2" max="2" width="35.19921875" style="1" customWidth="1"/>
    <col min="3" max="3" width="55.3984375" style="1" customWidth="1"/>
    <col min="4" max="4" width="43.19921875" style="1" customWidth="1"/>
    <col min="5" max="5" width="27.3984375" customWidth="1"/>
    <col min="6" max="6" width="41.5" customWidth="1"/>
  </cols>
  <sheetData>
    <row r="2" spans="2:3" ht="31.5" customHeight="1" x14ac:dyDescent="0.4">
      <c r="B2" s="156" t="s">
        <v>146</v>
      </c>
    </row>
    <row r="3" spans="2:3" ht="28.5" customHeight="1" x14ac:dyDescent="0.4">
      <c r="B3" s="155"/>
    </row>
    <row r="4" spans="2:3" ht="28.5" customHeight="1" x14ac:dyDescent="0.4">
      <c r="B4" s="132"/>
    </row>
    <row r="5" spans="2:3" ht="28.5" customHeight="1" x14ac:dyDescent="0.4">
      <c r="B5" s="132"/>
    </row>
    <row r="6" spans="2:3" ht="28.5" customHeight="1" x14ac:dyDescent="0.4">
      <c r="B6" s="132"/>
    </row>
    <row r="7" spans="2:3" ht="28.5" customHeight="1" x14ac:dyDescent="0.4">
      <c r="B7" s="132"/>
    </row>
    <row r="8" spans="2:3" ht="28.5" customHeight="1" x14ac:dyDescent="0.4">
      <c r="B8" s="133"/>
    </row>
    <row r="10" spans="2:3" ht="30" customHeight="1" x14ac:dyDescent="0.4">
      <c r="B10" s="311" t="s">
        <v>147</v>
      </c>
      <c r="C10" s="312"/>
    </row>
    <row r="11" spans="2:3" ht="27.75" customHeight="1" x14ac:dyDescent="0.4">
      <c r="B11" s="131" t="s">
        <v>114</v>
      </c>
      <c r="C11" s="131" t="s">
        <v>115</v>
      </c>
    </row>
    <row r="12" spans="2:3" ht="33" customHeight="1" x14ac:dyDescent="0.4">
      <c r="B12" s="128"/>
      <c r="C12" s="129"/>
    </row>
    <row r="13" spans="2:3" ht="33" customHeight="1" x14ac:dyDescent="0.4">
      <c r="B13" s="128"/>
      <c r="C13" s="129"/>
    </row>
    <row r="14" spans="2:3" ht="33" customHeight="1" x14ac:dyDescent="0.4">
      <c r="B14" s="128"/>
      <c r="C14" s="130"/>
    </row>
    <row r="15" spans="2:3" ht="33" customHeight="1" x14ac:dyDescent="0.4">
      <c r="B15" s="128"/>
      <c r="C15" s="130"/>
    </row>
    <row r="16" spans="2:3" ht="33" customHeight="1" x14ac:dyDescent="0.4">
      <c r="B16" s="128"/>
      <c r="C16" s="130"/>
    </row>
  </sheetData>
  <mergeCells count="1">
    <mergeCell ref="B10:C10"/>
  </mergeCells>
  <phoneticPr fontId="6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2:F10"/>
  <sheetViews>
    <sheetView topLeftCell="A8" workbookViewId="0">
      <selection activeCell="H8" sqref="H8"/>
    </sheetView>
  </sheetViews>
  <sheetFormatPr defaultRowHeight="17.399999999999999" x14ac:dyDescent="0.4"/>
  <cols>
    <col min="1" max="1" width="5" customWidth="1"/>
    <col min="2" max="2" width="15.69921875" customWidth="1"/>
    <col min="3" max="3" width="21.3984375" bestFit="1" customWidth="1"/>
    <col min="4" max="4" width="17.59765625" customWidth="1"/>
    <col min="5" max="5" width="15.8984375" customWidth="1"/>
    <col min="6" max="6" width="14.8984375" customWidth="1"/>
  </cols>
  <sheetData>
    <row r="2" spans="2:6" ht="23.25" customHeight="1" x14ac:dyDescent="0.4">
      <c r="B2" s="313" t="s">
        <v>201</v>
      </c>
      <c r="C2" s="313"/>
      <c r="D2" s="313"/>
      <c r="E2" s="313"/>
      <c r="F2" s="313"/>
    </row>
    <row r="3" spans="2:6" x14ac:dyDescent="0.4">
      <c r="B3" s="145" t="s">
        <v>118</v>
      </c>
      <c r="C3" s="136" t="s">
        <v>117</v>
      </c>
      <c r="D3" s="136" t="s">
        <v>130</v>
      </c>
      <c r="E3" s="136" t="s">
        <v>131</v>
      </c>
      <c r="F3" s="136" t="s">
        <v>132</v>
      </c>
    </row>
    <row r="4" spans="2:6" ht="24.75" customHeight="1" x14ac:dyDescent="0.4">
      <c r="B4" s="138" t="s">
        <v>125</v>
      </c>
      <c r="C4" s="139" t="s">
        <v>126</v>
      </c>
      <c r="D4" s="140">
        <f>자사매출추정표!D20</f>
        <v>0</v>
      </c>
      <c r="E4" s="140" t="e">
        <f>자사매출추정표!#REF!</f>
        <v>#REF!</v>
      </c>
      <c r="F4" s="140" t="e">
        <f>자사매출추정표!#REF!</f>
        <v>#REF!</v>
      </c>
    </row>
    <row r="5" spans="2:6" ht="24.75" customHeight="1" x14ac:dyDescent="0.4">
      <c r="B5" s="314" t="s">
        <v>128</v>
      </c>
      <c r="C5" s="141" t="s">
        <v>133</v>
      </c>
      <c r="D5" s="137"/>
      <c r="E5" s="143"/>
      <c r="F5" s="143"/>
    </row>
    <row r="6" spans="2:6" ht="24.75" customHeight="1" x14ac:dyDescent="0.4">
      <c r="B6" s="314"/>
      <c r="C6" s="141" t="s">
        <v>127</v>
      </c>
      <c r="D6" s="137"/>
      <c r="E6" s="143"/>
      <c r="F6" s="143"/>
    </row>
    <row r="7" spans="2:6" ht="24.75" customHeight="1" x14ac:dyDescent="0.4">
      <c r="B7" s="314"/>
      <c r="C7" s="141" t="s">
        <v>116</v>
      </c>
      <c r="D7" s="137"/>
      <c r="E7" s="143"/>
      <c r="F7" s="143"/>
    </row>
    <row r="8" spans="2:6" ht="24.75" customHeight="1" x14ac:dyDescent="0.4">
      <c r="B8" s="314"/>
      <c r="C8" s="141" t="s">
        <v>134</v>
      </c>
      <c r="D8" s="137"/>
      <c r="E8" s="143"/>
      <c r="F8" s="143"/>
    </row>
    <row r="9" spans="2:6" ht="24.75" customHeight="1" x14ac:dyDescent="0.4">
      <c r="B9" s="314"/>
      <c r="C9" s="141" t="s">
        <v>135</v>
      </c>
      <c r="D9" s="143"/>
      <c r="E9" s="143"/>
      <c r="F9" s="143"/>
    </row>
    <row r="10" spans="2:6" x14ac:dyDescent="0.4">
      <c r="B10" s="314"/>
      <c r="C10" s="142" t="s">
        <v>129</v>
      </c>
      <c r="D10" s="144"/>
      <c r="E10" s="144"/>
      <c r="F10" s="144"/>
    </row>
  </sheetData>
  <mergeCells count="2">
    <mergeCell ref="B2:F2"/>
    <mergeCell ref="B5:B10"/>
  </mergeCells>
  <phoneticPr fontId="6" type="noConversion"/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H11"/>
  <sheetViews>
    <sheetView workbookViewId="0">
      <selection activeCell="L9" sqref="L9"/>
    </sheetView>
  </sheetViews>
  <sheetFormatPr defaultRowHeight="17.399999999999999" x14ac:dyDescent="0.4"/>
  <cols>
    <col min="1" max="1" width="2.19921875" customWidth="1"/>
    <col min="2" max="2" width="17.19921875" customWidth="1"/>
    <col min="3" max="8" width="15" customWidth="1"/>
  </cols>
  <sheetData>
    <row r="2" spans="2:8" ht="22.5" customHeight="1" x14ac:dyDescent="0.4">
      <c r="B2" s="319" t="s">
        <v>202</v>
      </c>
      <c r="C2" s="319"/>
      <c r="D2" s="319"/>
      <c r="E2" s="319"/>
      <c r="F2" s="319"/>
      <c r="G2" s="319"/>
      <c r="H2" s="319"/>
    </row>
    <row r="3" spans="2:8" ht="26.25" customHeight="1" x14ac:dyDescent="0.4">
      <c r="B3" s="315" t="s">
        <v>0</v>
      </c>
      <c r="C3" s="317" t="s">
        <v>130</v>
      </c>
      <c r="D3" s="318"/>
      <c r="E3" s="317" t="s">
        <v>144</v>
      </c>
      <c r="F3" s="318"/>
      <c r="G3" s="317" t="s">
        <v>145</v>
      </c>
      <c r="H3" s="318"/>
    </row>
    <row r="4" spans="2:8" ht="26.25" customHeight="1" x14ac:dyDescent="0.4">
      <c r="B4" s="316"/>
      <c r="C4" s="150" t="s">
        <v>142</v>
      </c>
      <c r="D4" s="150" t="s">
        <v>143</v>
      </c>
      <c r="E4" s="150" t="s">
        <v>142</v>
      </c>
      <c r="F4" s="150" t="s">
        <v>143</v>
      </c>
      <c r="G4" s="150" t="s">
        <v>142</v>
      </c>
      <c r="H4" s="150" t="s">
        <v>143</v>
      </c>
    </row>
    <row r="5" spans="2:8" ht="26.25" customHeight="1" x14ac:dyDescent="0.4">
      <c r="B5" s="146" t="s">
        <v>136</v>
      </c>
      <c r="C5" s="148"/>
      <c r="D5" s="148"/>
      <c r="E5" s="148"/>
      <c r="F5" s="148"/>
      <c r="G5" s="148"/>
      <c r="H5" s="148"/>
    </row>
    <row r="6" spans="2:8" ht="26.25" customHeight="1" x14ac:dyDescent="0.4">
      <c r="B6" s="146" t="s">
        <v>137</v>
      </c>
      <c r="C6" s="148"/>
      <c r="D6" s="148"/>
      <c r="E6" s="148"/>
      <c r="F6" s="148"/>
      <c r="G6" s="148"/>
      <c r="H6" s="148"/>
    </row>
    <row r="7" spans="2:8" ht="26.25" customHeight="1" x14ac:dyDescent="0.4">
      <c r="B7" s="146" t="s">
        <v>138</v>
      </c>
      <c r="C7" s="148"/>
      <c r="D7" s="148"/>
      <c r="E7" s="148"/>
      <c r="F7" s="148"/>
      <c r="G7" s="148"/>
      <c r="H7" s="148"/>
    </row>
    <row r="8" spans="2:8" ht="26.25" customHeight="1" x14ac:dyDescent="0.4">
      <c r="B8" s="146" t="s">
        <v>139</v>
      </c>
      <c r="C8" s="148"/>
      <c r="D8" s="148"/>
      <c r="E8" s="148"/>
      <c r="F8" s="148"/>
      <c r="G8" s="148"/>
      <c r="H8" s="148"/>
    </row>
    <row r="9" spans="2:8" ht="26.25" customHeight="1" x14ac:dyDescent="0.4">
      <c r="B9" s="146" t="s">
        <v>140</v>
      </c>
      <c r="C9" s="148"/>
      <c r="D9" s="148"/>
      <c r="E9" s="148"/>
      <c r="F9" s="148"/>
      <c r="G9" s="148"/>
      <c r="H9" s="148"/>
    </row>
    <row r="10" spans="2:8" ht="26.25" customHeight="1" x14ac:dyDescent="0.4">
      <c r="B10" s="149" t="s">
        <v>141</v>
      </c>
      <c r="C10" s="148"/>
      <c r="D10" s="148"/>
      <c r="E10" s="148"/>
      <c r="F10" s="148"/>
      <c r="G10" s="148"/>
      <c r="H10" s="148"/>
    </row>
    <row r="11" spans="2:8" x14ac:dyDescent="0.4">
      <c r="B11" s="151"/>
      <c r="C11" s="147" t="s">
        <v>119</v>
      </c>
      <c r="D11" s="153">
        <f>SUM(D5:D10)</f>
        <v>0</v>
      </c>
      <c r="E11" s="152"/>
      <c r="F11" s="153">
        <f>SUM(F5:F10)</f>
        <v>0</v>
      </c>
      <c r="G11" s="152"/>
      <c r="H11" s="153">
        <f>SUM(H5:H10)</f>
        <v>0</v>
      </c>
    </row>
  </sheetData>
  <mergeCells count="5">
    <mergeCell ref="B3:B4"/>
    <mergeCell ref="C3:D3"/>
    <mergeCell ref="E3:F3"/>
    <mergeCell ref="G3:H3"/>
    <mergeCell ref="B2:H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17</vt:i4>
      </vt:variant>
    </vt:vector>
  </HeadingPairs>
  <TitlesOfParts>
    <vt:vector size="17" baseType="lpstr">
      <vt:lpstr>자사매출추정표</vt:lpstr>
      <vt:lpstr>AS-IS스펙표</vt:lpstr>
      <vt:lpstr>제품속성표</vt:lpstr>
      <vt:lpstr>제품속성적합도</vt:lpstr>
      <vt:lpstr>고객요구사항도출표</vt:lpstr>
      <vt:lpstr>KANO질문지</vt:lpstr>
      <vt:lpstr>kano분석 집계표</vt:lpstr>
      <vt:lpstr>만족계수 그래프</vt:lpstr>
      <vt:lpstr>TIMKO</vt:lpstr>
      <vt:lpstr>기능기술체계도</vt:lpstr>
      <vt:lpstr>QFD</vt:lpstr>
      <vt:lpstr>개선포인트도출</vt:lpstr>
      <vt:lpstr>최종목표스펙도출</vt:lpstr>
      <vt:lpstr>향후목표고객LIST</vt:lpstr>
      <vt:lpstr>핵심자산과 보완자산표</vt:lpstr>
      <vt:lpstr>자금소요계획표</vt:lpstr>
      <vt:lpstr>자금조달계획표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maker hit</cp:lastModifiedBy>
  <cp:lastPrinted>2018-02-19T06:49:41Z</cp:lastPrinted>
  <dcterms:created xsi:type="dcterms:W3CDTF">2018-02-19T06:20:22Z</dcterms:created>
  <dcterms:modified xsi:type="dcterms:W3CDTF">2025-11-18T14:51:15Z</dcterms:modified>
</cp:coreProperties>
</file>